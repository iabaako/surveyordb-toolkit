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3.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Ishamial Boako\Box Sync\git\surveyordb-toolkit\excel\"/>
    </mc:Choice>
  </mc:AlternateContent>
  <xr:revisionPtr revIDLastSave="0" documentId="10_ncr:100000_{7715DD22-113F-479D-8155-2DC27302E8CD}" xr6:coauthVersionLast="31" xr6:coauthVersionMax="38" xr10:uidLastSave="{00000000-0000-0000-0000-000000000000}"/>
  <bookViews>
    <workbookView xWindow="0" yWindow="0" windowWidth="23040" windowHeight="9144" activeTab="1" xr2:uid="{A2D185DA-C0DB-42B3-B822-8F0D46832F4B}"/>
  </bookViews>
  <sheets>
    <sheet name="Project Details" sheetId="1" r:id="rId1"/>
    <sheet name="Surveyor" sheetId="9" r:id="rId2"/>
    <sheet name="Template" sheetId="8" state="hidden" r:id="rId3"/>
    <sheet name="choices" sheetId="2" state="hidden" r:id="rId4"/>
  </sheets>
  <definedNames>
    <definedName name="capi_software">choices!$Z$5:$Z$8</definedName>
    <definedName name="categories">choices!$S$2:$S$10</definedName>
    <definedName name="descriptions">choices!$R$2:$R$10</definedName>
    <definedName name="education">choices!$U$5:$U$12</definedName>
    <definedName name="education_val">choices!$U$3:$V$12</definedName>
    <definedName name="gender">choices!$AC$5:$AC$6</definedName>
    <definedName name="interview_mode">choices!$AA$5:$AA$6</definedName>
    <definedName name="interview_mode_full">choices!$AA$5:$AA$7</definedName>
    <definedName name="metrics">choices!$R$2:$S$10</definedName>
    <definedName name="paper_or_capi">choices!$Y$5:$Y$6</definedName>
    <definedName name="paper_or_capi_full">choices!$Y$5:$Y$7</definedName>
    <definedName name="preferred_criteria">choices!$R$3:$R$9</definedName>
    <definedName name="project">choices!$A$2:$A$23</definedName>
    <definedName name="project_details">choices!$A$2:$A$23</definedName>
    <definedName name="project_phase">choices!$G$2:$G$8</definedName>
    <definedName name="projects">choices!$A$2:$A$28</definedName>
    <definedName name="quantitative_or_qualitative">choices!$AB$5:$AB$6</definedName>
    <definedName name="quantitative_or_qualitative_full">choices!$AB$5:$AB$7</definedName>
    <definedName name="researcharea">choices!$X$5:$X$10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47" i="9" l="1"/>
  <c r="G145" i="9"/>
  <c r="G143" i="9"/>
  <c r="G141" i="9"/>
  <c r="G139" i="9"/>
  <c r="G137" i="9"/>
  <c r="D128" i="9"/>
  <c r="D113" i="9"/>
  <c r="D107" i="9"/>
  <c r="D101" i="9"/>
  <c r="D88" i="9"/>
  <c r="I33" i="9"/>
  <c r="F33" i="9"/>
  <c r="C33" i="9"/>
  <c r="I29" i="9"/>
  <c r="F29" i="9"/>
  <c r="C29" i="9"/>
  <c r="I25" i="9"/>
  <c r="F25" i="9"/>
  <c r="C25" i="9"/>
  <c r="I21" i="9"/>
  <c r="F21" i="9"/>
  <c r="C21" i="9"/>
  <c r="I17" i="9"/>
  <c r="F17" i="9"/>
  <c r="C17" i="9"/>
  <c r="D128" i="8" l="1"/>
  <c r="D107" i="8"/>
  <c r="D101" i="8"/>
  <c r="D88" i="8"/>
  <c r="D113" i="8" l="1"/>
  <c r="I33" i="8" l="1"/>
  <c r="F33" i="8"/>
  <c r="C33" i="8"/>
  <c r="I29" i="8"/>
  <c r="F29" i="8"/>
  <c r="C29" i="8"/>
  <c r="I25" i="8"/>
  <c r="F25" i="8"/>
  <c r="C25" i="8"/>
  <c r="I21" i="8"/>
  <c r="F21" i="8"/>
  <c r="C21" i="8"/>
  <c r="I17" i="8"/>
  <c r="F17" i="8"/>
  <c r="C17" i="8"/>
  <c r="G147" i="8" l="1"/>
  <c r="G145" i="8"/>
  <c r="G143" i="8"/>
  <c r="G141" i="8"/>
  <c r="G139" i="8"/>
  <c r="G137" i="8"/>
  <c r="E46" i="1" l="1"/>
  <c r="E47" i="1"/>
  <c r="E48" i="1"/>
  <c r="E49" i="1"/>
  <c r="E50" i="1"/>
  <c r="E51" i="1"/>
  <c r="E52" i="1"/>
  <c r="E53" i="1"/>
  <c r="E54" i="1"/>
  <c r="D55" i="1"/>
  <c r="E45" i="1"/>
  <c r="E55" i="1" l="1"/>
</calcChain>
</file>

<file path=xl/sharedStrings.xml><?xml version="1.0" encoding="utf-8"?>
<sst xmlns="http://schemas.openxmlformats.org/spreadsheetml/2006/main" count="448" uniqueCount="286">
  <si>
    <t>Recruitment Request Form</t>
  </si>
  <si>
    <t>Project Head</t>
  </si>
  <si>
    <t>Survey Coordinator</t>
  </si>
  <si>
    <t>Date of submission</t>
  </si>
  <si>
    <t>Date of training</t>
  </si>
  <si>
    <t>Date of field work</t>
  </si>
  <si>
    <t>Project Acronym</t>
  </si>
  <si>
    <t>Project Details</t>
  </si>
  <si>
    <t>Project Staff</t>
  </si>
  <si>
    <t>Field Manager</t>
  </si>
  <si>
    <t>Project Manager</t>
  </si>
  <si>
    <t>Activity Details</t>
  </si>
  <si>
    <t>Project Code</t>
  </si>
  <si>
    <t>Project Grant</t>
  </si>
  <si>
    <t>Project Office</t>
  </si>
  <si>
    <t>Project Phase</t>
  </si>
  <si>
    <t>Estimated Duration of Activity</t>
  </si>
  <si>
    <t>Brief Description of Survey Activities</t>
  </si>
  <si>
    <t xml:space="preserve">Give a brief description of the nature of the study. This should include information on the study location, number of field teams requested. </t>
  </si>
  <si>
    <t>Request Sheet Name</t>
  </si>
  <si>
    <t>DIRTS</t>
  </si>
  <si>
    <t>Dessermination Innovative Resources and Technologies to Small Holder Farmers</t>
  </si>
  <si>
    <t>The Invisible Fishers</t>
  </si>
  <si>
    <t>CAGE</t>
  </si>
  <si>
    <t>Conservation Agriculture Evaluation</t>
  </si>
  <si>
    <t>LME</t>
  </si>
  <si>
    <t>Lively Minds Evaluation</t>
  </si>
  <si>
    <t>EP</t>
  </si>
  <si>
    <t>Escaping Poverty</t>
  </si>
  <si>
    <t>Cassava Processors in Ghana</t>
  </si>
  <si>
    <t>Research Area</t>
  </si>
  <si>
    <t>Agriculture</t>
  </si>
  <si>
    <t>Education</t>
  </si>
  <si>
    <t>Financial Inclusion</t>
  </si>
  <si>
    <t>Governance</t>
  </si>
  <si>
    <t>Health</t>
  </si>
  <si>
    <t>Peace and Recovery</t>
  </si>
  <si>
    <t>Small and Medium Enterprises</t>
  </si>
  <si>
    <t>Social Protection</t>
  </si>
  <si>
    <t>Tamale</t>
  </si>
  <si>
    <t>Accra</t>
  </si>
  <si>
    <t>Pilot</t>
  </si>
  <si>
    <t>Census</t>
  </si>
  <si>
    <t>Baseline</t>
  </si>
  <si>
    <t>Midline</t>
  </si>
  <si>
    <t>Endline</t>
  </si>
  <si>
    <t>Follow up</t>
  </si>
  <si>
    <t>Intervention Activities</t>
  </si>
  <si>
    <t>SME &amp; Gender</t>
  </si>
  <si>
    <t>Field Staff Position</t>
  </si>
  <si>
    <t># of field staff required for field work</t>
  </si>
  <si>
    <t>Protocol Minimum Number of field staff required for training</t>
  </si>
  <si>
    <t>Surveyor</t>
  </si>
  <si>
    <t>Auditor (Field/Phone)</t>
  </si>
  <si>
    <t>Auditor (Audio)</t>
  </si>
  <si>
    <t>Editor</t>
  </si>
  <si>
    <t>Note Taker</t>
  </si>
  <si>
    <t>Facilitator</t>
  </si>
  <si>
    <t>Indepth Interviewer</t>
  </si>
  <si>
    <t>Observer</t>
  </si>
  <si>
    <t>Video Coder</t>
  </si>
  <si>
    <t>Transcriptionist</t>
  </si>
  <si>
    <t>Translator</t>
  </si>
  <si>
    <t>Data Entry Officer</t>
  </si>
  <si>
    <t>Team Leader</t>
  </si>
  <si>
    <t>Field Supervisor</t>
  </si>
  <si>
    <t>Field Staff Evaluations</t>
  </si>
  <si>
    <t>Total</t>
  </si>
  <si>
    <t>Language</t>
  </si>
  <si>
    <t>Minimum Profieciency</t>
  </si>
  <si>
    <t>OR</t>
  </si>
  <si>
    <t>AND</t>
  </si>
  <si>
    <t>languages</t>
  </si>
  <si>
    <t>Ahanta</t>
  </si>
  <si>
    <t>Akuapem Twi</t>
  </si>
  <si>
    <t>Asanti Twi</t>
  </si>
  <si>
    <t>Asen</t>
  </si>
  <si>
    <t>Banda</t>
  </si>
  <si>
    <t>Bassari</t>
  </si>
  <si>
    <t>Birifor</t>
  </si>
  <si>
    <t>Buli</t>
  </si>
  <si>
    <t>Chamba</t>
  </si>
  <si>
    <t>Chokosi</t>
  </si>
  <si>
    <t>Chumburung</t>
  </si>
  <si>
    <t>Dagaare</t>
  </si>
  <si>
    <t>Dagbani</t>
  </si>
  <si>
    <t>Dangme</t>
  </si>
  <si>
    <t>Efutu</t>
  </si>
  <si>
    <t>Ewe</t>
  </si>
  <si>
    <t>Fante</t>
  </si>
  <si>
    <t>Fulfulde</t>
  </si>
  <si>
    <t>Ga</t>
  </si>
  <si>
    <t>Gonja</t>
  </si>
  <si>
    <t>Gruni</t>
  </si>
  <si>
    <t>Guan</t>
  </si>
  <si>
    <t>Kamara</t>
  </si>
  <si>
    <t>Kassem</t>
  </si>
  <si>
    <t>Koma</t>
  </si>
  <si>
    <t>Likpakpan</t>
  </si>
  <si>
    <t>Mampruli</t>
  </si>
  <si>
    <t>Mo/Deg</t>
  </si>
  <si>
    <t>Moar</t>
  </si>
  <si>
    <t>Moshie</t>
  </si>
  <si>
    <t>Nabt</t>
  </si>
  <si>
    <t>Nafaanra</t>
  </si>
  <si>
    <t>Nankam</t>
  </si>
  <si>
    <t>Nawuri</t>
  </si>
  <si>
    <t>Ntrubo</t>
  </si>
  <si>
    <t>Nzema</t>
  </si>
  <si>
    <t>Sefwi</t>
  </si>
  <si>
    <t>Sissali</t>
  </si>
  <si>
    <t>Talen</t>
  </si>
  <si>
    <t>Tampulma</t>
  </si>
  <si>
    <t>Vagla</t>
  </si>
  <si>
    <t>Wali</t>
  </si>
  <si>
    <t>Wassa</t>
  </si>
  <si>
    <t>language proficiency</t>
  </si>
  <si>
    <t>Native</t>
  </si>
  <si>
    <t>Full Professional</t>
  </si>
  <si>
    <t>Minimum Professional</t>
  </si>
  <si>
    <t>Limited Working</t>
  </si>
  <si>
    <t>Elementary</t>
  </si>
  <si>
    <t>Ashanti</t>
  </si>
  <si>
    <t>Central</t>
  </si>
  <si>
    <t>Eastern</t>
  </si>
  <si>
    <t>Northern</t>
  </si>
  <si>
    <t>Volta</t>
  </si>
  <si>
    <t>Western</t>
  </si>
  <si>
    <t>regions</t>
  </si>
  <si>
    <t>Brong Ahafo</t>
  </si>
  <si>
    <t>Greater Accra</t>
  </si>
  <si>
    <t>Upper East</t>
  </si>
  <si>
    <t>Upper West</t>
  </si>
  <si>
    <t>Criteria</t>
  </si>
  <si>
    <r>
      <t xml:space="preserve">Instructions:
</t>
    </r>
    <r>
      <rPr>
        <i/>
        <sz val="12"/>
        <rFont val="Calibri"/>
        <family val="2"/>
        <scheme val="minor"/>
      </rPr>
      <t>In the table below, please indicate the prefered criteria for this recruitment. Note that this will be used to rank field staff in the specified order</t>
    </r>
  </si>
  <si>
    <t>Required and Preferred Criteria</t>
  </si>
  <si>
    <t>education</t>
  </si>
  <si>
    <t>Highest Level of Education Completed</t>
  </si>
  <si>
    <t>project</t>
  </si>
  <si>
    <t>researcharea</t>
  </si>
  <si>
    <t>Experience on a Previous IPA Project</t>
  </si>
  <si>
    <t>Experience on a Previous IPA Project in a specific Research Area</t>
  </si>
  <si>
    <t>paper_or_capi</t>
  </si>
  <si>
    <t>Experience Using Paper or CAPI Survey</t>
  </si>
  <si>
    <t>capi_software</t>
  </si>
  <si>
    <t>Experience in Paper of CAPI</t>
  </si>
  <si>
    <t>interview_mode</t>
  </si>
  <si>
    <t>Experience doing personal or phone interviews</t>
  </si>
  <si>
    <t>quantitative_or_qualitative</t>
  </si>
  <si>
    <t>Experience doing quantitative or qualitative field activities</t>
  </si>
  <si>
    <t>Doctorate</t>
  </si>
  <si>
    <t>Masters</t>
  </si>
  <si>
    <t>Bachelors</t>
  </si>
  <si>
    <t>HND</t>
  </si>
  <si>
    <t>Diploma</t>
  </si>
  <si>
    <t>Certificate</t>
  </si>
  <si>
    <t>SSCE</t>
  </si>
  <si>
    <t>BECE</t>
  </si>
  <si>
    <t>Ariku</t>
  </si>
  <si>
    <t>C4D</t>
  </si>
  <si>
    <t>CHPS</t>
  </si>
  <si>
    <t>CREDI</t>
  </si>
  <si>
    <t>Dupas Trip</t>
  </si>
  <si>
    <t>EPAME</t>
  </si>
  <si>
    <t>FTTT</t>
  </si>
  <si>
    <t>GCCPS</t>
  </si>
  <si>
    <t>Gender Grants</t>
  </si>
  <si>
    <t>GUIIDE</t>
  </si>
  <si>
    <t>GYS</t>
  </si>
  <si>
    <t>MGCubed</t>
  </si>
  <si>
    <t>NAP</t>
  </si>
  <si>
    <t>NAP networks</t>
  </si>
  <si>
    <t>QP4G</t>
  </si>
  <si>
    <t>Sanitation</t>
  </si>
  <si>
    <t>TAT</t>
  </si>
  <si>
    <t>AHME</t>
  </si>
  <si>
    <t>add project</t>
  </si>
  <si>
    <t>Microfinance</t>
  </si>
  <si>
    <t>Labour</t>
  </si>
  <si>
    <t>Paper</t>
  </si>
  <si>
    <t>CAPI</t>
  </si>
  <si>
    <t>Paper/CAPI</t>
  </si>
  <si>
    <t>SurveyCTO</t>
  </si>
  <si>
    <t>Tangerine</t>
  </si>
  <si>
    <t>ODK</t>
  </si>
  <si>
    <t>Blaise</t>
  </si>
  <si>
    <t>Phone</t>
  </si>
  <si>
    <t>Field</t>
  </si>
  <si>
    <t>Phone/Field</t>
  </si>
  <si>
    <t>Quantitative</t>
  </si>
  <si>
    <t>Qualitative</t>
  </si>
  <si>
    <t>Quantitative/Qualitative</t>
  </si>
  <si>
    <t>metric</t>
  </si>
  <si>
    <t>description</t>
  </si>
  <si>
    <t>Experience in CAPI Software</t>
  </si>
  <si>
    <t>gender</t>
  </si>
  <si>
    <t>Male</t>
  </si>
  <si>
    <t>Female</t>
  </si>
  <si>
    <t>Gender of Field Staff</t>
  </si>
  <si>
    <t>Sub Phase (opt)</t>
  </si>
  <si>
    <t>Farmerline</t>
  </si>
  <si>
    <t>Database Score (Weighted Average)</t>
  </si>
  <si>
    <t xml:space="preserve">       Ashanti</t>
  </si>
  <si>
    <t xml:space="preserve">       Central</t>
  </si>
  <si>
    <t xml:space="preserve">       Eastern</t>
  </si>
  <si>
    <t xml:space="preserve">       Greater Accra</t>
  </si>
  <si>
    <t xml:space="preserve">       Northern</t>
  </si>
  <si>
    <t xml:space="preserve">       Upper East</t>
  </si>
  <si>
    <t xml:space="preserve">       Upper West</t>
  </si>
  <si>
    <t xml:space="preserve">       Volta</t>
  </si>
  <si>
    <t xml:space="preserve">       Western</t>
  </si>
  <si>
    <t xml:space="preserve">      </t>
  </si>
  <si>
    <t xml:space="preserve">       </t>
  </si>
  <si>
    <t xml:space="preserve">       Brong/Ahafo</t>
  </si>
  <si>
    <t xml:space="preserve">       Auditor (Audio)</t>
  </si>
  <si>
    <t xml:space="preserve">       Auditor (Field/Phone)</t>
  </si>
  <si>
    <t xml:space="preserve">       Data Entry Officer</t>
  </si>
  <si>
    <t xml:space="preserve">       Editor</t>
  </si>
  <si>
    <t xml:space="preserve">       Facilitator</t>
  </si>
  <si>
    <t xml:space="preserve">       Field Supervisor</t>
  </si>
  <si>
    <t xml:space="preserve">       Indepth Interviewer</t>
  </si>
  <si>
    <t xml:space="preserve">       Note Taker</t>
  </si>
  <si>
    <t xml:space="preserve">       Observer</t>
  </si>
  <si>
    <t xml:space="preserve">       Surveyor</t>
  </si>
  <si>
    <t xml:space="preserve">       Team Leader</t>
  </si>
  <si>
    <t xml:space="preserve">       Transcriptionist</t>
  </si>
  <si>
    <t xml:space="preserve">       Translator</t>
  </si>
  <si>
    <t xml:space="preserve">       Video Coder</t>
  </si>
  <si>
    <t>Specific Date for training [MM/DD/YY]</t>
  </si>
  <si>
    <t>education_val</t>
  </si>
  <si>
    <t>Local Language Proficiency</t>
  </si>
  <si>
    <t>Region of Residence</t>
  </si>
  <si>
    <t>Previous Experience in Positions at IPA</t>
  </si>
  <si>
    <t>Experience on Specific IPA Projects &amp; Phases</t>
  </si>
  <si>
    <t>Project</t>
  </si>
  <si>
    <t>Phase</t>
  </si>
  <si>
    <t>Experience on Specific Research Areas</t>
  </si>
  <si>
    <t xml:space="preserve">       Agriculture</t>
  </si>
  <si>
    <t xml:space="preserve">       Education</t>
  </si>
  <si>
    <t xml:space="preserve">       Financial Inclusion</t>
  </si>
  <si>
    <t xml:space="preserve">       Governance</t>
  </si>
  <si>
    <t xml:space="preserve">       Health</t>
  </si>
  <si>
    <t xml:space="preserve">       Peace and Recovery</t>
  </si>
  <si>
    <t xml:space="preserve">       Small and Medium Enterprises</t>
  </si>
  <si>
    <t xml:space="preserve"> </t>
  </si>
  <si>
    <t xml:space="preserve">       Social Protection</t>
  </si>
  <si>
    <t>Experience in CAPI or PAPER</t>
  </si>
  <si>
    <t>Select from the drop down list the requirement for experience with CAPI or Paper Surveying</t>
  </si>
  <si>
    <t>Experience in the use of Specific CAPI Software</t>
  </si>
  <si>
    <t xml:space="preserve">       SurveyCTO</t>
  </si>
  <si>
    <t xml:space="preserve">       ODK</t>
  </si>
  <si>
    <t xml:space="preserve">       Tangerine</t>
  </si>
  <si>
    <t xml:space="preserve">       Blaise C.B.S</t>
  </si>
  <si>
    <t>Experience with Phone or in-person (Field) interviewing</t>
  </si>
  <si>
    <t>Experience with Quantitative and Qualitative Interviewing</t>
  </si>
  <si>
    <t>Database Score</t>
  </si>
  <si>
    <t>Gender</t>
  </si>
  <si>
    <t>Include the email granting an exception to recruit only one gender when submitting this request to the SC</t>
  </si>
  <si>
    <t>Specify gender requirement for this recruitment. Leave blank if Not Applicable</t>
  </si>
  <si>
    <t>Minimum Level of Education</t>
  </si>
  <si>
    <t>Exclude Field Staff Who have worked on specific projects or project phases</t>
  </si>
  <si>
    <t>db_score_weighted</t>
  </si>
  <si>
    <r>
      <rPr>
        <b/>
        <u/>
        <sz val="11"/>
        <color theme="1"/>
        <rFont val="Calibri"/>
        <family val="2"/>
        <scheme val="minor"/>
      </rPr>
      <t>Instructions:</t>
    </r>
    <r>
      <rPr>
        <b/>
        <sz val="11"/>
        <color theme="1"/>
        <rFont val="Calibri"/>
        <family val="2"/>
        <scheme val="minor"/>
      </rPr>
      <t xml:space="preserve">
</t>
    </r>
    <r>
      <rPr>
        <sz val="11"/>
        <color theme="1"/>
        <rFont val="Calibri"/>
        <family val="2"/>
        <scheme val="minor"/>
      </rPr>
      <t xml:space="preserve">Indicate in cell </t>
    </r>
    <r>
      <rPr>
        <b/>
        <sz val="11"/>
        <color theme="1"/>
        <rFont val="Calibri"/>
        <family val="2"/>
        <scheme val="minor"/>
      </rPr>
      <t xml:space="preserve">C60 </t>
    </r>
    <r>
      <rPr>
        <sz val="11"/>
        <color theme="1"/>
        <rFont val="Calibri"/>
        <family val="2"/>
        <scheme val="minor"/>
      </rPr>
      <t>the name of the new sheet to create. This sheet should be a short name indicating the description of field staff to be selected from this sheet. eg. FS, TL_Ewe, Auditor_Central</t>
    </r>
  </si>
  <si>
    <t>Using the checkboxes provided, indicate the requirement for the region of residence. Leave all boxes checked/uncheked If the current home location of the field staff is not required for this request.</t>
  </si>
  <si>
    <t>Using the checkboxes provided, indicate the requirement for experience in previous IPA positions. Leave all the boxes checked/unchecked if the experience on a previous project is not a requirement for this request</t>
  </si>
  <si>
    <t xml:space="preserve">Select the requirement for working on specific IPA projects or phases in the past. </t>
  </si>
  <si>
    <t>Specify the field staff to disqualify due to the experience on previous projects or project activities</t>
  </si>
  <si>
    <t xml:space="preserve">Specify the experience in specific research area that is required for this request. </t>
  </si>
  <si>
    <t>Using the checkboxes provided, select if a field staff is required to have experience with any of the following CAPI software</t>
  </si>
  <si>
    <t>Select from the drop down list the requirement for experience with quantitative or qualitative interviewing</t>
  </si>
  <si>
    <t>Select from the drop down list the requirement for experience with in-person (field) or phone interviews</t>
  </si>
  <si>
    <t>Select from the drop down list the requirement for minimal level of educational completed</t>
  </si>
  <si>
    <t xml:space="preserve">Please note that field staff with an average score of less than 40% will automatically be dropped. To prevent this, check the box on the right and provide reasons for this. </t>
  </si>
  <si>
    <t>REQUIRED CRITERIA</t>
  </si>
  <si>
    <t>REQUEST DETAILS</t>
  </si>
  <si>
    <r>
      <t xml:space="preserve">Instructions:
</t>
    </r>
    <r>
      <rPr>
        <i/>
        <sz val="12"/>
        <rFont val="Calibri"/>
        <family val="2"/>
        <scheme val="minor"/>
      </rPr>
      <t>Indicate under each metric, the required criteria for this recruitment. Note that candidates who do not meet any of the criteria specified will not be shortlisted</t>
    </r>
  </si>
  <si>
    <t>SORTING CRITERIA</t>
  </si>
  <si>
    <t>In the table below, select the language requirements for this position. Please note that this can be used for the different combinations of languages. All languages are pre-populated and should be selected from the dropdown list. If the language you require is not in the list, inform your SC immediately. Leave this section blank if local language proficiency is not a criteria for this request</t>
  </si>
  <si>
    <t>Position (if not in list select closest postion)</t>
  </si>
  <si>
    <t>Phase - II</t>
  </si>
  <si>
    <t>Kamal-Deen Mohammed</t>
  </si>
  <si>
    <t>Eric Tawiah</t>
  </si>
  <si>
    <t>Edward Tsinigo</t>
  </si>
  <si>
    <t>Mathew Bidinlib</t>
  </si>
  <si>
    <t>4 days</t>
  </si>
  <si>
    <t xml:space="preserve">The Farmerline team wishes to recruit 4 surveyors for the baseline pilot in the Ashanti and Volta Region.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</si>
</sst>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21" x14ac:knownFonts="1">
    <font>
      <sz val="11"/>
      <color theme="1"/>
      <name val="Calibri"/>
      <family val="2"/>
      <scheme val="minor"/>
    </font>
    <font>
      <b/>
      <sz val="11"/>
      <color theme="1"/>
      <name val="Calibri"/>
      <family val="2"/>
      <scheme val="minor"/>
    </font>
    <font>
      <b/>
      <sz val="14"/>
      <color theme="1"/>
      <name val="Calibri"/>
      <family val="2"/>
      <scheme val="minor"/>
    </font>
    <font>
      <i/>
      <sz val="11"/>
      <color theme="1"/>
      <name val="Calibri"/>
      <family val="2"/>
      <scheme val="minor"/>
    </font>
    <font>
      <b/>
      <i/>
      <sz val="11"/>
      <color theme="1"/>
      <name val="Calibri"/>
      <family val="2"/>
      <scheme val="minor"/>
    </font>
    <font>
      <sz val="11"/>
      <name val="Calibri"/>
      <family val="2"/>
    </font>
    <font>
      <i/>
      <sz val="10"/>
      <name val="Calibri"/>
      <family val="2"/>
    </font>
    <font>
      <b/>
      <sz val="12"/>
      <name val="Calibri"/>
      <family val="2"/>
    </font>
    <font>
      <b/>
      <u/>
      <sz val="11"/>
      <color theme="1"/>
      <name val="Calibri"/>
      <family val="2"/>
      <scheme val="minor"/>
    </font>
    <font>
      <sz val="11"/>
      <color rgb="FF000000"/>
      <name val="Calibri"/>
      <family val="2"/>
    </font>
    <font>
      <sz val="11"/>
      <name val="Calibri"/>
      <family val="2"/>
      <scheme val="minor"/>
    </font>
    <font>
      <b/>
      <sz val="16"/>
      <name val="Calibri"/>
      <family val="2"/>
      <scheme val="minor"/>
    </font>
    <font>
      <b/>
      <sz val="11"/>
      <name val="Calibri"/>
      <family val="2"/>
      <scheme val="minor"/>
    </font>
    <font>
      <b/>
      <sz val="12"/>
      <name val="Calibri"/>
      <family val="2"/>
      <scheme val="minor"/>
    </font>
    <font>
      <b/>
      <u/>
      <sz val="12"/>
      <name val="Calibri"/>
      <family val="2"/>
      <scheme val="minor"/>
    </font>
    <font>
      <i/>
      <sz val="12"/>
      <name val="Calibri"/>
      <family val="2"/>
      <scheme val="minor"/>
    </font>
    <font>
      <sz val="11"/>
      <color theme="3" tint="0.79998168889431442"/>
      <name val="Calibri"/>
      <family val="2"/>
      <scheme val="minor"/>
    </font>
    <font>
      <b/>
      <sz val="26"/>
      <color theme="1"/>
      <name val="Calibri"/>
      <family val="2"/>
      <scheme val="minor"/>
    </font>
    <font>
      <sz val="11"/>
      <color rgb="FFD6DCDA"/>
      <name val="Calibri"/>
      <family val="2"/>
      <scheme val="minor"/>
    </font>
    <font>
      <sz val="11"/>
      <color rgb="FF006100"/>
      <name val="Calibri"/>
      <family val="2"/>
      <scheme val="minor"/>
    </font>
    <font>
      <sz val="12"/>
      <name val="Calibri"/>
      <family val="2"/>
      <scheme val="minor"/>
    </font>
  </fonts>
  <fills count="8">
    <fill>
      <patternFill patternType="none"/>
    </fill>
    <fill>
      <patternFill patternType="gray125"/>
    </fill>
    <fill>
      <patternFill patternType="solid">
        <fgColor theme="2"/>
        <bgColor indexed="64"/>
      </patternFill>
    </fill>
    <fill>
      <patternFill patternType="solid">
        <fgColor theme="3" tint="0.79998168889431442"/>
        <bgColor indexed="64"/>
      </patternFill>
    </fill>
    <fill>
      <patternFill patternType="solid">
        <fgColor theme="0"/>
        <bgColor indexed="64"/>
      </patternFill>
    </fill>
    <fill>
      <patternFill patternType="solid">
        <fgColor rgb="FFD6DCDA"/>
        <bgColor indexed="64"/>
      </patternFill>
    </fill>
    <fill>
      <patternFill patternType="solid">
        <fgColor theme="5" tint="0.59999389629810485"/>
        <bgColor indexed="64"/>
      </patternFill>
    </fill>
    <fill>
      <patternFill patternType="solid">
        <fgColor rgb="FFC6EFCE"/>
      </patternFill>
    </fill>
  </fills>
  <borders count="39">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s>
  <cellStyleXfs count="5">
    <xf numFmtId="0" fontId="0" fillId="0" borderId="0"/>
    <xf numFmtId="0" fontId="5" fillId="0" borderId="0"/>
    <xf numFmtId="0" fontId="5" fillId="0" borderId="0"/>
    <xf numFmtId="0" fontId="5" fillId="0" borderId="0"/>
    <xf numFmtId="0" fontId="19" fillId="7" borderId="0" applyNumberFormat="0" applyBorder="0" applyAlignment="0" applyProtection="0"/>
  </cellStyleXfs>
  <cellXfs count="231">
    <xf numFmtId="0" fontId="0" fillId="0" borderId="0" xfId="0"/>
    <xf numFmtId="0" fontId="0" fillId="0" borderId="0" xfId="0" applyAlignment="1">
      <alignment wrapText="1"/>
    </xf>
    <xf numFmtId="0" fontId="0" fillId="0" borderId="1" xfId="0" applyBorder="1"/>
    <xf numFmtId="0" fontId="4" fillId="0" borderId="1" xfId="0" applyFont="1" applyBorder="1"/>
    <xf numFmtId="0" fontId="0" fillId="0" borderId="1" xfId="0" applyFill="1" applyBorder="1" applyAlignment="1">
      <alignment wrapText="1"/>
    </xf>
    <xf numFmtId="0" fontId="0" fillId="0" borderId="0" xfId="0"/>
    <xf numFmtId="0" fontId="0" fillId="4" borderId="1" xfId="0" applyFont="1" applyFill="1" applyBorder="1"/>
    <xf numFmtId="0" fontId="0" fillId="0" borderId="1" xfId="0" applyFont="1" applyBorder="1"/>
    <xf numFmtId="0" fontId="3" fillId="0" borderId="1" xfId="0" applyFont="1" applyFill="1" applyBorder="1"/>
    <xf numFmtId="0" fontId="4" fillId="4" borderId="1" xfId="0" applyFont="1" applyFill="1" applyBorder="1"/>
    <xf numFmtId="0" fontId="0" fillId="4" borderId="7" xfId="0" applyFont="1" applyFill="1" applyBorder="1"/>
    <xf numFmtId="0" fontId="3" fillId="0" borderId="0" xfId="0" applyFont="1" applyAlignment="1">
      <alignment wrapText="1"/>
    </xf>
    <xf numFmtId="0" fontId="1" fillId="0" borderId="1" xfId="0" applyFont="1" applyBorder="1" applyAlignment="1">
      <alignment wrapText="1"/>
    </xf>
    <xf numFmtId="0" fontId="1" fillId="0" borderId="1" xfId="0" applyFont="1" applyFill="1" applyBorder="1" applyAlignment="1">
      <alignment wrapText="1"/>
    </xf>
    <xf numFmtId="0" fontId="0" fillId="0" borderId="1" xfId="0" applyBorder="1" applyAlignment="1">
      <alignment wrapText="1"/>
    </xf>
    <xf numFmtId="0" fontId="3" fillId="0" borderId="1" xfId="0" applyFont="1" applyBorder="1" applyAlignment="1">
      <alignment wrapText="1"/>
    </xf>
    <xf numFmtId="0" fontId="0" fillId="0" borderId="1" xfId="0" applyFont="1" applyBorder="1" applyAlignment="1">
      <alignment wrapText="1"/>
    </xf>
    <xf numFmtId="0" fontId="3" fillId="0" borderId="1" xfId="0" applyFont="1" applyBorder="1"/>
    <xf numFmtId="0" fontId="3" fillId="0" borderId="0" xfId="0" applyFont="1"/>
    <xf numFmtId="0" fontId="3" fillId="0" borderId="4" xfId="0" applyFont="1" applyBorder="1"/>
    <xf numFmtId="0" fontId="0" fillId="0" borderId="1" xfId="0" applyFont="1" applyFill="1" applyBorder="1" applyAlignment="1">
      <alignment wrapText="1"/>
    </xf>
    <xf numFmtId="0" fontId="4" fillId="0" borderId="1" xfId="0" applyFont="1" applyBorder="1" applyAlignment="1">
      <alignment wrapText="1"/>
    </xf>
    <xf numFmtId="0" fontId="3" fillId="0" borderId="1" xfId="0" applyFont="1" applyFill="1" applyBorder="1" applyAlignment="1">
      <alignment wrapText="1"/>
    </xf>
    <xf numFmtId="0" fontId="0" fillId="0" borderId="0" xfId="0" applyFill="1" applyBorder="1"/>
    <xf numFmtId="0" fontId="0" fillId="0" borderId="0" xfId="0" applyBorder="1"/>
    <xf numFmtId="1" fontId="0" fillId="0" borderId="1" xfId="0" applyNumberFormat="1" applyFill="1" applyBorder="1" applyAlignment="1" applyProtection="1">
      <alignment wrapText="1"/>
      <protection locked="0"/>
    </xf>
    <xf numFmtId="0" fontId="0" fillId="0" borderId="1" xfId="0" applyFont="1" applyFill="1" applyBorder="1"/>
    <xf numFmtId="0" fontId="18" fillId="5" borderId="0" xfId="0" applyFont="1" applyFill="1" applyBorder="1" applyProtection="1">
      <protection hidden="1"/>
    </xf>
    <xf numFmtId="0" fontId="0" fillId="0" borderId="0" xfId="0" applyFont="1" applyFill="1" applyBorder="1" applyAlignment="1">
      <alignment wrapText="1"/>
    </xf>
    <xf numFmtId="0" fontId="1" fillId="0" borderId="0" xfId="0" applyFont="1" applyFill="1" applyBorder="1" applyAlignment="1">
      <alignment wrapText="1"/>
    </xf>
    <xf numFmtId="0" fontId="10" fillId="0" borderId="12" xfId="0" applyFont="1" applyFill="1" applyBorder="1" applyAlignment="1" applyProtection="1">
      <alignment horizontal="left"/>
      <protection locked="0"/>
    </xf>
    <xf numFmtId="0" fontId="10" fillId="0" borderId="13" xfId="0" applyFont="1" applyFill="1" applyBorder="1" applyProtection="1">
      <protection locked="0"/>
    </xf>
    <xf numFmtId="0" fontId="1" fillId="0" borderId="0" xfId="0" applyFont="1" applyBorder="1" applyAlignment="1">
      <alignment wrapText="1"/>
    </xf>
    <xf numFmtId="0" fontId="0" fillId="0" borderId="0" xfId="0" applyBorder="1" applyAlignment="1">
      <alignment wrapText="1"/>
    </xf>
    <xf numFmtId="9" fontId="10" fillId="4" borderId="19" xfId="0" applyNumberFormat="1" applyFont="1" applyFill="1" applyBorder="1" applyAlignment="1" applyProtection="1">
      <alignment horizontal="left"/>
      <protection locked="0"/>
    </xf>
    <xf numFmtId="9" fontId="10" fillId="4" borderId="23" xfId="0" applyNumberFormat="1" applyFont="1" applyFill="1" applyBorder="1" applyAlignment="1" applyProtection="1">
      <alignment horizontal="left"/>
      <protection locked="0"/>
    </xf>
    <xf numFmtId="9" fontId="10" fillId="4" borderId="35" xfId="0" applyNumberFormat="1" applyFont="1" applyFill="1" applyBorder="1" applyAlignment="1" applyProtection="1">
      <alignment horizontal="left"/>
      <protection locked="0"/>
    </xf>
    <xf numFmtId="9" fontId="10" fillId="4" borderId="37" xfId="0" applyNumberFormat="1" applyFont="1" applyFill="1" applyBorder="1" applyAlignment="1" applyProtection="1">
      <alignment horizontal="left"/>
      <protection locked="0"/>
    </xf>
    <xf numFmtId="0" fontId="3" fillId="0" borderId="0" xfId="0" applyFont="1" applyFill="1" applyBorder="1"/>
    <xf numFmtId="9" fontId="10" fillId="4" borderId="36" xfId="0" applyNumberFormat="1" applyFont="1" applyFill="1" applyBorder="1" applyAlignment="1" applyProtection="1">
      <alignment horizontal="left"/>
      <protection locked="0"/>
    </xf>
    <xf numFmtId="9" fontId="10" fillId="4" borderId="17" xfId="0" applyNumberFormat="1" applyFont="1" applyFill="1" applyBorder="1" applyAlignment="1" applyProtection="1">
      <alignment horizontal="left"/>
      <protection locked="0"/>
    </xf>
    <xf numFmtId="0" fontId="0" fillId="3" borderId="0" xfId="0" applyFill="1" applyBorder="1" applyAlignment="1" applyProtection="1">
      <alignment wrapText="1"/>
      <protection hidden="1"/>
    </xf>
    <xf numFmtId="0" fontId="0" fillId="0" borderId="0" xfId="0" applyProtection="1">
      <protection hidden="1"/>
    </xf>
    <xf numFmtId="0" fontId="0" fillId="0" borderId="0" xfId="0" applyAlignment="1" applyProtection="1">
      <alignment wrapText="1"/>
      <protection hidden="1"/>
    </xf>
    <xf numFmtId="0" fontId="0" fillId="3" borderId="0" xfId="0" applyFill="1" applyBorder="1" applyProtection="1">
      <protection hidden="1"/>
    </xf>
    <xf numFmtId="0" fontId="0" fillId="3" borderId="0" xfId="0" applyFont="1" applyFill="1" applyBorder="1" applyAlignment="1" applyProtection="1">
      <alignment wrapText="1"/>
      <protection hidden="1"/>
    </xf>
    <xf numFmtId="0" fontId="0" fillId="0" borderId="0" xfId="0" applyFill="1" applyProtection="1">
      <protection hidden="1"/>
    </xf>
    <xf numFmtId="0" fontId="0" fillId="0" borderId="0" xfId="0" applyFill="1" applyAlignment="1" applyProtection="1">
      <alignment wrapText="1"/>
      <protection hidden="1"/>
    </xf>
    <xf numFmtId="0" fontId="10" fillId="5" borderId="0" xfId="0" applyFont="1" applyFill="1" applyProtection="1">
      <protection hidden="1"/>
    </xf>
    <xf numFmtId="0" fontId="10" fillId="5" borderId="0" xfId="0" applyFont="1" applyFill="1" applyAlignment="1" applyProtection="1">
      <alignment wrapText="1"/>
      <protection hidden="1"/>
    </xf>
    <xf numFmtId="0" fontId="0" fillId="5" borderId="0" xfId="0" applyFill="1" applyProtection="1">
      <protection hidden="1"/>
    </xf>
    <xf numFmtId="0" fontId="0" fillId="5" borderId="26" xfId="0" applyFill="1" applyBorder="1" applyProtection="1">
      <protection hidden="1"/>
    </xf>
    <xf numFmtId="0" fontId="0" fillId="5" borderId="27" xfId="0" applyFill="1" applyBorder="1" applyProtection="1">
      <protection hidden="1"/>
    </xf>
    <xf numFmtId="0" fontId="10" fillId="5" borderId="18" xfId="0" applyFont="1" applyFill="1" applyBorder="1" applyAlignment="1" applyProtection="1">
      <alignment horizontal="left"/>
      <protection hidden="1"/>
    </xf>
    <xf numFmtId="0" fontId="12" fillId="5" borderId="0" xfId="0" applyFont="1" applyFill="1" applyBorder="1" applyProtection="1">
      <protection hidden="1"/>
    </xf>
    <xf numFmtId="0" fontId="12" fillId="5" borderId="0" xfId="0" applyFont="1" applyFill="1" applyBorder="1" applyAlignment="1" applyProtection="1">
      <alignment vertical="center"/>
      <protection hidden="1"/>
    </xf>
    <xf numFmtId="0" fontId="10" fillId="5" borderId="0" xfId="0" applyFont="1" applyFill="1" applyBorder="1" applyAlignment="1" applyProtection="1">
      <alignment horizontal="left"/>
      <protection hidden="1"/>
    </xf>
    <xf numFmtId="0" fontId="10" fillId="5" borderId="0" xfId="0" applyFont="1" applyFill="1" applyBorder="1" applyProtection="1">
      <protection hidden="1"/>
    </xf>
    <xf numFmtId="0" fontId="10" fillId="5" borderId="0" xfId="0" applyFont="1" applyFill="1" applyBorder="1" applyAlignment="1" applyProtection="1">
      <alignment vertical="center"/>
      <protection hidden="1"/>
    </xf>
    <xf numFmtId="0" fontId="11" fillId="5" borderId="18" xfId="0" applyFont="1" applyFill="1" applyBorder="1" applyAlignment="1" applyProtection="1">
      <alignment horizontal="left"/>
      <protection hidden="1"/>
    </xf>
    <xf numFmtId="0" fontId="11" fillId="5" borderId="0" xfId="0" applyFont="1" applyFill="1" applyBorder="1" applyAlignment="1" applyProtection="1">
      <alignment horizontal="left"/>
      <protection hidden="1"/>
    </xf>
    <xf numFmtId="0" fontId="10" fillId="5" borderId="18" xfId="0" applyFont="1" applyFill="1" applyBorder="1" applyProtection="1">
      <protection hidden="1"/>
    </xf>
    <xf numFmtId="0" fontId="10" fillId="5" borderId="0" xfId="0" applyFont="1" applyFill="1" applyBorder="1" applyAlignment="1" applyProtection="1">
      <alignment wrapText="1"/>
      <protection hidden="1"/>
    </xf>
    <xf numFmtId="0" fontId="10" fillId="5" borderId="17" xfId="0" applyFont="1" applyFill="1" applyBorder="1" applyAlignment="1" applyProtection="1">
      <alignment horizontal="left"/>
      <protection hidden="1"/>
    </xf>
    <xf numFmtId="0" fontId="10" fillId="5" borderId="24" xfId="0" applyFont="1" applyFill="1" applyBorder="1" applyAlignment="1" applyProtection="1">
      <alignment horizontal="left"/>
      <protection hidden="1"/>
    </xf>
    <xf numFmtId="0" fontId="10" fillId="5" borderId="19" xfId="0" applyFont="1" applyFill="1" applyBorder="1" applyAlignment="1" applyProtection="1">
      <alignment horizontal="left"/>
      <protection hidden="1"/>
    </xf>
    <xf numFmtId="0" fontId="10" fillId="5" borderId="25" xfId="0" applyFont="1" applyFill="1" applyBorder="1" applyAlignment="1" applyProtection="1">
      <alignment horizontal="left"/>
      <protection hidden="1"/>
    </xf>
    <xf numFmtId="0" fontId="10" fillId="5" borderId="23" xfId="0" applyFont="1" applyFill="1" applyBorder="1" applyAlignment="1" applyProtection="1">
      <alignment horizontal="left"/>
      <protection hidden="1"/>
    </xf>
    <xf numFmtId="0" fontId="10" fillId="5" borderId="0" xfId="0" applyFont="1" applyFill="1" applyBorder="1" applyAlignment="1" applyProtection="1">
      <alignment horizontal="left" vertical="top" wrapText="1"/>
      <protection hidden="1"/>
    </xf>
    <xf numFmtId="0" fontId="10" fillId="5" borderId="29" xfId="0" applyFont="1" applyFill="1" applyBorder="1" applyAlignment="1" applyProtection="1">
      <alignment vertical="top"/>
      <protection hidden="1"/>
    </xf>
    <xf numFmtId="0" fontId="10" fillId="5" borderId="30" xfId="0" applyFont="1" applyFill="1" applyBorder="1" applyAlignment="1" applyProtection="1">
      <alignment vertical="top"/>
      <protection hidden="1"/>
    </xf>
    <xf numFmtId="0" fontId="10" fillId="5" borderId="31" xfId="0" applyFont="1" applyFill="1" applyBorder="1" applyAlignment="1" applyProtection="1">
      <alignment vertical="top"/>
      <protection hidden="1"/>
    </xf>
    <xf numFmtId="0" fontId="10" fillId="5" borderId="32" xfId="0" applyFont="1" applyFill="1" applyBorder="1" applyAlignment="1" applyProtection="1">
      <alignment vertical="top"/>
      <protection hidden="1"/>
    </xf>
    <xf numFmtId="0" fontId="10" fillId="5" borderId="35" xfId="0" applyFont="1" applyFill="1" applyBorder="1" applyAlignment="1" applyProtection="1">
      <alignment vertical="top"/>
      <protection hidden="1"/>
    </xf>
    <xf numFmtId="0" fontId="10" fillId="5" borderId="19" xfId="0" applyFont="1" applyFill="1" applyBorder="1" applyAlignment="1" applyProtection="1">
      <alignment vertical="top"/>
      <protection hidden="1"/>
    </xf>
    <xf numFmtId="0" fontId="10" fillId="5" borderId="33" xfId="0" applyFont="1" applyFill="1" applyBorder="1" applyAlignment="1" applyProtection="1">
      <alignment vertical="top"/>
      <protection hidden="1"/>
    </xf>
    <xf numFmtId="0" fontId="10" fillId="5" borderId="34" xfId="0" applyFont="1" applyFill="1" applyBorder="1" applyAlignment="1" applyProtection="1">
      <alignment vertical="top"/>
      <protection hidden="1"/>
    </xf>
    <xf numFmtId="0" fontId="10" fillId="5" borderId="0" xfId="0" applyFont="1" applyFill="1" applyBorder="1" applyAlignment="1" applyProtection="1">
      <alignment vertical="top"/>
      <protection hidden="1"/>
    </xf>
    <xf numFmtId="9" fontId="11" fillId="5" borderId="18" xfId="0" applyNumberFormat="1" applyFont="1" applyFill="1" applyBorder="1" applyAlignment="1" applyProtection="1">
      <alignment horizontal="left"/>
      <protection hidden="1"/>
    </xf>
    <xf numFmtId="9" fontId="11" fillId="5" borderId="0" xfId="0" applyNumberFormat="1" applyFont="1" applyFill="1" applyBorder="1" applyAlignment="1" applyProtection="1">
      <alignment horizontal="left"/>
      <protection hidden="1"/>
    </xf>
    <xf numFmtId="9" fontId="12" fillId="5" borderId="18" xfId="0" applyNumberFormat="1" applyFont="1" applyFill="1" applyBorder="1" applyAlignment="1" applyProtection="1">
      <alignment horizontal="left"/>
      <protection hidden="1"/>
    </xf>
    <xf numFmtId="9" fontId="12" fillId="5" borderId="0" xfId="0" applyNumberFormat="1" applyFont="1" applyFill="1" applyBorder="1" applyAlignment="1" applyProtection="1">
      <alignment horizontal="left"/>
      <protection hidden="1"/>
    </xf>
    <xf numFmtId="0" fontId="0" fillId="5" borderId="27" xfId="0" applyFont="1" applyFill="1" applyBorder="1" applyProtection="1">
      <protection hidden="1"/>
    </xf>
    <xf numFmtId="0" fontId="0" fillId="0" borderId="0" xfId="0" applyFont="1" applyProtection="1">
      <protection hidden="1"/>
    </xf>
    <xf numFmtId="0" fontId="12" fillId="5" borderId="18" xfId="0" applyNumberFormat="1" applyFont="1" applyFill="1" applyBorder="1" applyAlignment="1" applyProtection="1">
      <alignment horizontal="right"/>
      <protection hidden="1"/>
    </xf>
    <xf numFmtId="0" fontId="12" fillId="5" borderId="0" xfId="0" applyNumberFormat="1" applyFont="1" applyFill="1" applyBorder="1" applyAlignment="1" applyProtection="1">
      <alignment horizontal="right"/>
      <protection hidden="1"/>
    </xf>
    <xf numFmtId="0" fontId="12" fillId="5" borderId="18" xfId="0" applyNumberFormat="1" applyFont="1" applyFill="1" applyBorder="1" applyAlignment="1" applyProtection="1">
      <alignment horizontal="left"/>
      <protection hidden="1"/>
    </xf>
    <xf numFmtId="9" fontId="10" fillId="5" borderId="0" xfId="0" applyNumberFormat="1" applyFont="1" applyFill="1" applyBorder="1" applyAlignment="1" applyProtection="1">
      <alignment horizontal="left"/>
      <protection hidden="1"/>
    </xf>
    <xf numFmtId="0" fontId="0" fillId="5" borderId="29" xfId="0" applyFill="1" applyBorder="1" applyProtection="1">
      <protection hidden="1"/>
    </xf>
    <xf numFmtId="9" fontId="10" fillId="5" borderId="30" xfId="0" applyNumberFormat="1" applyFont="1" applyFill="1" applyBorder="1" applyAlignment="1" applyProtection="1">
      <alignment horizontal="left"/>
      <protection hidden="1"/>
    </xf>
    <xf numFmtId="0" fontId="0" fillId="5" borderId="31" xfId="0" applyFill="1" applyBorder="1" applyProtection="1">
      <protection hidden="1"/>
    </xf>
    <xf numFmtId="0" fontId="10" fillId="5" borderId="32" xfId="4" applyFont="1" applyFill="1" applyBorder="1" applyAlignment="1" applyProtection="1">
      <alignment vertical="top" wrapText="1"/>
      <protection hidden="1"/>
    </xf>
    <xf numFmtId="0" fontId="10" fillId="5" borderId="0" xfId="4" applyFont="1" applyFill="1" applyBorder="1" applyAlignment="1" applyProtection="1">
      <alignment vertical="top"/>
      <protection hidden="1"/>
    </xf>
    <xf numFmtId="0" fontId="0" fillId="5" borderId="33" xfId="0" applyFill="1" applyBorder="1" applyProtection="1">
      <protection hidden="1"/>
    </xf>
    <xf numFmtId="0" fontId="10" fillId="5" borderId="34" xfId="4" applyFont="1" applyFill="1" applyBorder="1" applyAlignment="1" applyProtection="1">
      <alignment vertical="top" wrapText="1"/>
      <protection hidden="1"/>
    </xf>
    <xf numFmtId="9" fontId="10" fillId="5" borderId="0" xfId="0" applyNumberFormat="1" applyFont="1" applyFill="1" applyBorder="1" applyAlignment="1" applyProtection="1">
      <alignment horizontal="left" vertical="center"/>
      <protection hidden="1"/>
    </xf>
    <xf numFmtId="0" fontId="0" fillId="5" borderId="0" xfId="0" applyFill="1" applyBorder="1" applyProtection="1">
      <protection hidden="1"/>
    </xf>
    <xf numFmtId="0" fontId="10" fillId="5" borderId="0" xfId="4" applyFont="1" applyFill="1" applyBorder="1" applyAlignment="1" applyProtection="1">
      <alignment vertical="top" wrapText="1"/>
      <protection hidden="1"/>
    </xf>
    <xf numFmtId="0" fontId="10" fillId="5" borderId="0" xfId="0" applyFont="1" applyFill="1" applyBorder="1" applyAlignment="1" applyProtection="1">
      <alignment vertical="center" wrapText="1"/>
      <protection hidden="1"/>
    </xf>
    <xf numFmtId="9" fontId="18" fillId="5" borderId="0" xfId="0" applyNumberFormat="1" applyFont="1" applyFill="1" applyBorder="1" applyAlignment="1" applyProtection="1">
      <protection hidden="1"/>
    </xf>
    <xf numFmtId="0" fontId="10" fillId="5" borderId="30" xfId="4" applyFont="1" applyFill="1" applyBorder="1" applyAlignment="1" applyProtection="1">
      <alignment vertical="top" wrapText="1"/>
      <protection hidden="1"/>
    </xf>
    <xf numFmtId="9" fontId="11" fillId="5" borderId="20" xfId="0" applyNumberFormat="1" applyFont="1" applyFill="1" applyBorder="1" applyAlignment="1" applyProtection="1">
      <alignment horizontal="left"/>
      <protection hidden="1"/>
    </xf>
    <xf numFmtId="9" fontId="11" fillId="5" borderId="21" xfId="0" applyNumberFormat="1" applyFont="1" applyFill="1" applyBorder="1" applyAlignment="1" applyProtection="1">
      <alignment horizontal="left"/>
      <protection hidden="1"/>
    </xf>
    <xf numFmtId="0" fontId="0" fillId="5" borderId="28" xfId="0" applyFill="1" applyBorder="1" applyProtection="1">
      <protection hidden="1"/>
    </xf>
    <xf numFmtId="0" fontId="12" fillId="5" borderId="0" xfId="0" applyFont="1" applyFill="1" applyBorder="1" applyAlignment="1" applyProtection="1">
      <alignment horizontal="left"/>
      <protection hidden="1"/>
    </xf>
    <xf numFmtId="0" fontId="12" fillId="5" borderId="18" xfId="0" applyFont="1" applyFill="1" applyBorder="1" applyProtection="1">
      <protection hidden="1"/>
    </xf>
    <xf numFmtId="0" fontId="16" fillId="5" borderId="0" xfId="0" applyFont="1" applyFill="1" applyBorder="1" applyProtection="1">
      <protection hidden="1"/>
    </xf>
    <xf numFmtId="0" fontId="10" fillId="5" borderId="20" xfId="0" applyFont="1" applyFill="1" applyBorder="1" applyProtection="1">
      <protection hidden="1"/>
    </xf>
    <xf numFmtId="0" fontId="10" fillId="5" borderId="21" xfId="0" applyFont="1" applyFill="1" applyBorder="1" applyAlignment="1" applyProtection="1">
      <alignment wrapText="1"/>
      <protection hidden="1"/>
    </xf>
    <xf numFmtId="0" fontId="10" fillId="5" borderId="21" xfId="0" applyFont="1" applyFill="1" applyBorder="1" applyProtection="1">
      <protection hidden="1"/>
    </xf>
    <xf numFmtId="0" fontId="0" fillId="0" borderId="0" xfId="0" applyProtection="1">
      <protection locked="0"/>
    </xf>
    <xf numFmtId="0" fontId="0" fillId="0" borderId="0" xfId="0" applyFont="1" applyProtection="1">
      <protection locked="0"/>
    </xf>
    <xf numFmtId="0" fontId="10" fillId="4" borderId="8" xfId="0" applyFont="1" applyFill="1" applyBorder="1" applyProtection="1">
      <protection locked="0"/>
    </xf>
    <xf numFmtId="0" fontId="0" fillId="0" borderId="0" xfId="0" applyBorder="1" applyProtection="1">
      <protection locked="0"/>
    </xf>
    <xf numFmtId="0" fontId="0" fillId="0" borderId="0" xfId="0" applyFont="1" applyBorder="1" applyProtection="1">
      <protection locked="0"/>
    </xf>
    <xf numFmtId="0" fontId="10" fillId="0" borderId="0" xfId="0" applyFont="1" applyFill="1" applyBorder="1" applyProtection="1">
      <protection locked="0"/>
    </xf>
    <xf numFmtId="0" fontId="10" fillId="0" borderId="0" xfId="0" applyFont="1" applyProtection="1">
      <protection locked="0"/>
    </xf>
    <xf numFmtId="0" fontId="11" fillId="5" borderId="21" xfId="0" applyFont="1" applyFill="1" applyBorder="1" applyAlignment="1" applyProtection="1">
      <alignment horizontal="left"/>
      <protection hidden="1"/>
    </xf>
    <xf numFmtId="0" fontId="10" fillId="5" borderId="21" xfId="0" applyFont="1" applyFill="1" applyBorder="1" applyAlignment="1" applyProtection="1">
      <alignment horizontal="left" wrapText="1"/>
      <protection hidden="1"/>
    </xf>
    <xf numFmtId="0" fontId="10" fillId="5" borderId="21" xfId="0" applyFont="1" applyFill="1" applyBorder="1" applyAlignment="1" applyProtection="1">
      <alignment horizontal="left" vertical="top" wrapText="1"/>
      <protection hidden="1"/>
    </xf>
    <xf numFmtId="0" fontId="10" fillId="5" borderId="21" xfId="0" applyFont="1" applyFill="1" applyBorder="1" applyAlignment="1" applyProtection="1">
      <alignment vertical="center" wrapText="1"/>
      <protection hidden="1"/>
    </xf>
    <xf numFmtId="0" fontId="10" fillId="5" borderId="10" xfId="0" applyFont="1" applyFill="1" applyBorder="1" applyProtection="1">
      <protection hidden="1"/>
    </xf>
    <xf numFmtId="0" fontId="10" fillId="5" borderId="0" xfId="0" applyFont="1" applyFill="1" applyBorder="1" applyAlignment="1" applyProtection="1">
      <alignment vertical="top" wrapText="1"/>
      <protection hidden="1"/>
    </xf>
    <xf numFmtId="0" fontId="18" fillId="5" borderId="27" xfId="0" applyFont="1" applyFill="1" applyBorder="1" applyProtection="1">
      <protection hidden="1"/>
    </xf>
    <xf numFmtId="0" fontId="18" fillId="5" borderId="0" xfId="0" applyFont="1" applyFill="1" applyBorder="1" applyAlignment="1" applyProtection="1">
      <alignment vertical="top"/>
      <protection hidden="1"/>
    </xf>
    <xf numFmtId="9" fontId="18" fillId="5" borderId="0" xfId="0" applyNumberFormat="1" applyFont="1" applyFill="1" applyBorder="1" applyAlignment="1" applyProtection="1">
      <alignment horizontal="left"/>
      <protection hidden="1"/>
    </xf>
    <xf numFmtId="0" fontId="0" fillId="3" borderId="27" xfId="0" applyFill="1" applyBorder="1" applyProtection="1">
      <protection hidden="1"/>
    </xf>
    <xf numFmtId="0" fontId="0" fillId="3" borderId="18" xfId="0" applyFill="1" applyBorder="1" applyProtection="1">
      <protection hidden="1"/>
    </xf>
    <xf numFmtId="0" fontId="0" fillId="3" borderId="20" xfId="0" applyFill="1" applyBorder="1" applyProtection="1">
      <protection hidden="1"/>
    </xf>
    <xf numFmtId="0" fontId="0" fillId="3" borderId="21" xfId="0" applyFont="1" applyFill="1" applyBorder="1" applyAlignment="1" applyProtection="1">
      <alignment wrapText="1"/>
      <protection hidden="1"/>
    </xf>
    <xf numFmtId="0" fontId="0" fillId="5" borderId="21" xfId="0" applyFill="1" applyBorder="1" applyAlignment="1" applyProtection="1">
      <alignment horizontal="left" wrapText="1"/>
      <protection locked="0"/>
    </xf>
    <xf numFmtId="0" fontId="0" fillId="3" borderId="28" xfId="0" applyFill="1" applyBorder="1" applyProtection="1">
      <protection hidden="1"/>
    </xf>
    <xf numFmtId="0" fontId="0" fillId="3" borderId="26" xfId="0" applyFill="1" applyBorder="1" applyProtection="1">
      <protection hidden="1"/>
    </xf>
    <xf numFmtId="0" fontId="0" fillId="3" borderId="21" xfId="0" applyFill="1" applyBorder="1" applyAlignment="1" applyProtection="1">
      <alignment wrapText="1"/>
      <protection hidden="1"/>
    </xf>
    <xf numFmtId="0" fontId="0" fillId="3" borderId="21" xfId="0" applyFill="1" applyBorder="1" applyProtection="1">
      <protection hidden="1"/>
    </xf>
    <xf numFmtId="0" fontId="1" fillId="2" borderId="1" xfId="0" applyFont="1" applyFill="1" applyBorder="1" applyAlignment="1" applyProtection="1">
      <alignment horizontal="left" wrapText="1"/>
      <protection hidden="1"/>
    </xf>
    <xf numFmtId="0" fontId="0" fillId="6" borderId="1" xfId="0" applyFill="1" applyBorder="1" applyAlignment="1" applyProtection="1">
      <protection hidden="1"/>
    </xf>
    <xf numFmtId="1" fontId="1" fillId="2" borderId="1" xfId="0" applyNumberFormat="1" applyFont="1" applyFill="1" applyBorder="1" applyAlignment="1" applyProtection="1">
      <alignment wrapText="1"/>
      <protection hidden="1"/>
    </xf>
    <xf numFmtId="0" fontId="1" fillId="3" borderId="18" xfId="0" applyFont="1" applyFill="1" applyBorder="1" applyProtection="1">
      <protection hidden="1"/>
    </xf>
    <xf numFmtId="9" fontId="11" fillId="5" borderId="18" xfId="0" applyNumberFormat="1" applyFont="1" applyFill="1" applyBorder="1" applyAlignment="1" applyProtection="1">
      <alignment horizontal="left"/>
      <protection hidden="1"/>
    </xf>
    <xf numFmtId="9" fontId="11" fillId="5" borderId="0" xfId="0" applyNumberFormat="1" applyFont="1" applyFill="1" applyBorder="1" applyAlignment="1" applyProtection="1">
      <alignment horizontal="left"/>
      <protection hidden="1"/>
    </xf>
    <xf numFmtId="0" fontId="11" fillId="5" borderId="18" xfId="0" applyFont="1" applyFill="1" applyBorder="1" applyAlignment="1" applyProtection="1">
      <alignment horizontal="left"/>
      <protection hidden="1"/>
    </xf>
    <xf numFmtId="0" fontId="11" fillId="5" borderId="0" xfId="0" applyFont="1" applyFill="1" applyBorder="1" applyAlignment="1" applyProtection="1">
      <alignment horizontal="left"/>
      <protection hidden="1"/>
    </xf>
    <xf numFmtId="0" fontId="12" fillId="5" borderId="0" xfId="0" applyFont="1" applyFill="1" applyBorder="1" applyAlignment="1" applyProtection="1">
      <alignment horizontal="left"/>
      <protection hidden="1"/>
    </xf>
    <xf numFmtId="14" fontId="10" fillId="4" borderId="8" xfId="0" applyNumberFormat="1" applyFont="1" applyFill="1" applyBorder="1" applyProtection="1">
      <protection locked="0"/>
    </xf>
    <xf numFmtId="0" fontId="0" fillId="0" borderId="1" xfId="0" applyFill="1" applyBorder="1" applyAlignment="1" applyProtection="1">
      <alignment horizontal="left" wrapText="1"/>
      <protection locked="0"/>
    </xf>
    <xf numFmtId="0" fontId="1" fillId="2" borderId="1" xfId="0" applyFont="1" applyFill="1" applyBorder="1" applyAlignment="1" applyProtection="1">
      <alignment horizontal="left" wrapText="1"/>
      <protection hidden="1"/>
    </xf>
    <xf numFmtId="0" fontId="0" fillId="0" borderId="1" xfId="0" applyFill="1" applyBorder="1" applyAlignment="1" applyProtection="1">
      <alignment wrapText="1"/>
      <protection locked="0"/>
    </xf>
    <xf numFmtId="0" fontId="2" fillId="3" borderId="14" xfId="0" applyFont="1" applyFill="1" applyBorder="1" applyAlignment="1" applyProtection="1">
      <alignment horizontal="left" wrapText="1"/>
      <protection hidden="1"/>
    </xf>
    <xf numFmtId="0" fontId="2" fillId="3" borderId="15" xfId="0" applyFont="1" applyFill="1" applyBorder="1" applyAlignment="1" applyProtection="1">
      <alignment horizontal="left" wrapText="1"/>
      <protection hidden="1"/>
    </xf>
    <xf numFmtId="164" fontId="0" fillId="0" borderId="1" xfId="0" applyNumberFormat="1" applyFill="1" applyBorder="1" applyAlignment="1" applyProtection="1">
      <alignment horizontal="left" wrapText="1"/>
      <protection locked="0"/>
    </xf>
    <xf numFmtId="0" fontId="17" fillId="3" borderId="0" xfId="0" applyFont="1" applyFill="1" applyBorder="1" applyAlignment="1" applyProtection="1">
      <alignment horizontal="left" vertical="center" wrapText="1"/>
      <protection hidden="1"/>
    </xf>
    <xf numFmtId="0" fontId="0" fillId="3" borderId="0" xfId="0" applyFill="1" applyBorder="1" applyAlignment="1" applyProtection="1">
      <alignment horizontal="center" wrapText="1"/>
      <protection hidden="1"/>
    </xf>
    <xf numFmtId="0" fontId="3" fillId="2" borderId="1" xfId="0" applyFont="1" applyFill="1" applyBorder="1" applyAlignment="1" applyProtection="1">
      <alignment horizontal="left" vertical="top" wrapText="1"/>
      <protection hidden="1"/>
    </xf>
    <xf numFmtId="0" fontId="0" fillId="0" borderId="1" xfId="0" applyFill="1" applyBorder="1" applyAlignment="1" applyProtection="1">
      <alignment horizontal="left" vertical="top" wrapText="1"/>
      <protection locked="0"/>
    </xf>
    <xf numFmtId="0" fontId="7" fillId="3" borderId="12" xfId="0" applyFont="1" applyFill="1" applyBorder="1" applyAlignment="1" applyProtection="1">
      <alignment horizontal="left" vertical="center" wrapText="1"/>
      <protection hidden="1"/>
    </xf>
    <xf numFmtId="0" fontId="7" fillId="3" borderId="38" xfId="0" applyFont="1" applyFill="1" applyBorder="1" applyAlignment="1" applyProtection="1">
      <alignment horizontal="left" vertical="center" wrapText="1"/>
      <protection hidden="1"/>
    </xf>
    <xf numFmtId="0" fontId="6" fillId="0" borderId="38" xfId="0" applyFont="1" applyFill="1" applyBorder="1" applyAlignment="1" applyProtection="1">
      <alignment horizontal="left" vertical="center"/>
      <protection locked="0"/>
    </xf>
    <xf numFmtId="0" fontId="6" fillId="0" borderId="13" xfId="0" applyFont="1" applyFill="1" applyBorder="1" applyAlignment="1" applyProtection="1">
      <alignment horizontal="left" vertical="center"/>
      <protection locked="0"/>
    </xf>
    <xf numFmtId="0" fontId="1" fillId="2" borderId="14" xfId="0" applyFont="1" applyFill="1" applyBorder="1" applyAlignment="1" applyProtection="1">
      <alignment horizontal="left" vertical="top" wrapText="1"/>
      <protection hidden="1"/>
    </xf>
    <xf numFmtId="0" fontId="1" fillId="2" borderId="15" xfId="0" applyFont="1" applyFill="1" applyBorder="1" applyAlignment="1" applyProtection="1">
      <alignment horizontal="left" vertical="top" wrapText="1"/>
      <protection hidden="1"/>
    </xf>
    <xf numFmtId="0" fontId="1" fillId="2" borderId="26" xfId="0" applyFont="1" applyFill="1" applyBorder="1" applyAlignment="1" applyProtection="1">
      <alignment horizontal="left" vertical="top" wrapText="1"/>
      <protection hidden="1"/>
    </xf>
    <xf numFmtId="0" fontId="1" fillId="2" borderId="18" xfId="0" applyFont="1" applyFill="1" applyBorder="1" applyAlignment="1" applyProtection="1">
      <alignment horizontal="left" vertical="top" wrapText="1"/>
      <protection hidden="1"/>
    </xf>
    <xf numFmtId="0" fontId="1" fillId="2" borderId="0" xfId="0" applyFont="1" applyFill="1" applyBorder="1" applyAlignment="1" applyProtection="1">
      <alignment horizontal="left" vertical="top" wrapText="1"/>
      <protection hidden="1"/>
    </xf>
    <xf numFmtId="0" fontId="1" fillId="2" borderId="27" xfId="0" applyFont="1" applyFill="1" applyBorder="1" applyAlignment="1" applyProtection="1">
      <alignment horizontal="left" vertical="top" wrapText="1"/>
      <protection hidden="1"/>
    </xf>
    <xf numFmtId="0" fontId="1" fillId="2" borderId="20" xfId="0" applyFont="1" applyFill="1" applyBorder="1" applyAlignment="1" applyProtection="1">
      <alignment horizontal="left" vertical="top" wrapText="1"/>
      <protection hidden="1"/>
    </xf>
    <xf numFmtId="0" fontId="1" fillId="2" borderId="21" xfId="0" applyFont="1" applyFill="1" applyBorder="1" applyAlignment="1" applyProtection="1">
      <alignment horizontal="left" vertical="top" wrapText="1"/>
      <protection hidden="1"/>
    </xf>
    <xf numFmtId="0" fontId="1" fillId="2" borderId="28" xfId="0" applyFont="1" applyFill="1" applyBorder="1" applyAlignment="1" applyProtection="1">
      <alignment horizontal="left" vertical="top" wrapText="1"/>
      <protection hidden="1"/>
    </xf>
    <xf numFmtId="0" fontId="1" fillId="2" borderId="1" xfId="0" applyFont="1" applyFill="1" applyBorder="1" applyAlignment="1" applyProtection="1">
      <alignment wrapText="1"/>
      <protection hidden="1"/>
    </xf>
    <xf numFmtId="0" fontId="10" fillId="0" borderId="4" xfId="0" applyFont="1" applyFill="1" applyBorder="1" applyAlignment="1" applyProtection="1">
      <alignment horizontal="left" wrapText="1"/>
      <protection locked="0"/>
    </xf>
    <xf numFmtId="0" fontId="10" fillId="0" borderId="6" xfId="0" applyFont="1" applyFill="1" applyBorder="1" applyAlignment="1" applyProtection="1">
      <alignment horizontal="left" wrapText="1"/>
      <protection locked="0"/>
    </xf>
    <xf numFmtId="0" fontId="10" fillId="0" borderId="5" xfId="0" applyFont="1" applyFill="1" applyBorder="1" applyAlignment="1" applyProtection="1">
      <alignment horizontal="left" wrapText="1"/>
      <protection locked="0"/>
    </xf>
    <xf numFmtId="0" fontId="10" fillId="0" borderId="4" xfId="0" applyFont="1" applyFill="1" applyBorder="1" applyAlignment="1" applyProtection="1">
      <alignment horizontal="left"/>
      <protection locked="0"/>
    </xf>
    <xf numFmtId="0" fontId="10" fillId="0" borderId="5" xfId="0" applyFont="1" applyFill="1" applyBorder="1" applyAlignment="1" applyProtection="1">
      <alignment horizontal="left"/>
      <protection locked="0"/>
    </xf>
    <xf numFmtId="0" fontId="11" fillId="5" borderId="14" xfId="0" applyFont="1" applyFill="1" applyBorder="1" applyAlignment="1" applyProtection="1">
      <alignment horizontal="left"/>
      <protection hidden="1"/>
    </xf>
    <xf numFmtId="0" fontId="11" fillId="5" borderId="15" xfId="0" applyFont="1" applyFill="1" applyBorder="1" applyAlignment="1" applyProtection="1">
      <alignment horizontal="left"/>
      <protection hidden="1"/>
    </xf>
    <xf numFmtId="0" fontId="14" fillId="2" borderId="4" xfId="0" applyFont="1" applyFill="1" applyBorder="1" applyAlignment="1" applyProtection="1">
      <alignment horizontal="left" vertical="top" wrapText="1"/>
      <protection hidden="1"/>
    </xf>
    <xf numFmtId="0" fontId="14" fillId="2" borderId="6" xfId="0" applyFont="1" applyFill="1" applyBorder="1" applyAlignment="1" applyProtection="1">
      <alignment horizontal="left" vertical="top" wrapText="1"/>
      <protection hidden="1"/>
    </xf>
    <xf numFmtId="0" fontId="14" fillId="2" borderId="5" xfId="0" applyFont="1" applyFill="1" applyBorder="1" applyAlignment="1" applyProtection="1">
      <alignment horizontal="left" vertical="top" wrapText="1"/>
      <protection hidden="1"/>
    </xf>
    <xf numFmtId="0" fontId="12" fillId="5" borderId="3" xfId="0" applyFont="1" applyFill="1" applyBorder="1" applyAlignment="1" applyProtection="1">
      <alignment horizontal="left" wrapText="1"/>
      <protection hidden="1"/>
    </xf>
    <xf numFmtId="0" fontId="12" fillId="5" borderId="0" xfId="0" applyFont="1" applyFill="1" applyBorder="1" applyAlignment="1" applyProtection="1">
      <alignment horizontal="left"/>
      <protection hidden="1"/>
    </xf>
    <xf numFmtId="0" fontId="10" fillId="2" borderId="14" xfId="0" applyFont="1" applyFill="1" applyBorder="1" applyAlignment="1" applyProtection="1">
      <alignment horizontal="left" vertical="center" wrapText="1"/>
      <protection hidden="1"/>
    </xf>
    <xf numFmtId="0" fontId="10" fillId="2" borderId="26" xfId="0" applyFont="1" applyFill="1" applyBorder="1" applyAlignment="1" applyProtection="1">
      <alignment horizontal="left" vertical="center" wrapText="1"/>
      <protection hidden="1"/>
    </xf>
    <xf numFmtId="0" fontId="10" fillId="2" borderId="18" xfId="0" applyFont="1" applyFill="1" applyBorder="1" applyAlignment="1" applyProtection="1">
      <alignment horizontal="left" vertical="center" wrapText="1"/>
      <protection hidden="1"/>
    </xf>
    <xf numFmtId="0" fontId="10" fillId="2" borderId="27" xfId="0" applyFont="1" applyFill="1" applyBorder="1" applyAlignment="1" applyProtection="1">
      <alignment horizontal="left" vertical="center" wrapText="1"/>
      <protection hidden="1"/>
    </xf>
    <xf numFmtId="0" fontId="10" fillId="2" borderId="20" xfId="0" applyFont="1" applyFill="1" applyBorder="1" applyAlignment="1" applyProtection="1">
      <alignment horizontal="left" vertical="center" wrapText="1"/>
      <protection hidden="1"/>
    </xf>
    <xf numFmtId="0" fontId="10" fillId="2" borderId="28" xfId="0" applyFont="1" applyFill="1" applyBorder="1" applyAlignment="1" applyProtection="1">
      <alignment horizontal="left" vertical="center" wrapText="1"/>
      <protection hidden="1"/>
    </xf>
    <xf numFmtId="0" fontId="10" fillId="5" borderId="0" xfId="4" applyFont="1" applyFill="1" applyBorder="1" applyAlignment="1" applyProtection="1">
      <alignment horizontal="left" vertical="top" wrapText="1"/>
      <protection locked="0"/>
    </xf>
    <xf numFmtId="9" fontId="11" fillId="5" borderId="18" xfId="0" applyNumberFormat="1" applyFont="1" applyFill="1" applyBorder="1" applyAlignment="1" applyProtection="1">
      <alignment horizontal="left"/>
      <protection hidden="1"/>
    </xf>
    <xf numFmtId="9" fontId="11" fillId="5" borderId="0" xfId="0" applyNumberFormat="1" applyFont="1" applyFill="1" applyBorder="1" applyAlignment="1" applyProtection="1">
      <alignment horizontal="left"/>
      <protection hidden="1"/>
    </xf>
    <xf numFmtId="0" fontId="18" fillId="5" borderId="0" xfId="4" applyFont="1" applyFill="1" applyBorder="1" applyAlignment="1" applyProtection="1">
      <alignment horizontal="left" vertical="center" wrapText="1"/>
      <protection hidden="1"/>
    </xf>
    <xf numFmtId="9" fontId="10" fillId="0" borderId="9" xfId="0" applyNumberFormat="1" applyFont="1" applyFill="1" applyBorder="1" applyAlignment="1" applyProtection="1">
      <alignment horizontal="left"/>
      <protection locked="0"/>
    </xf>
    <xf numFmtId="9" fontId="10" fillId="0" borderId="11" xfId="0" applyNumberFormat="1" applyFont="1" applyFill="1" applyBorder="1" applyAlignment="1" applyProtection="1">
      <alignment horizontal="left"/>
      <protection locked="0"/>
    </xf>
    <xf numFmtId="9" fontId="10" fillId="2" borderId="14" xfId="0" applyNumberFormat="1" applyFont="1" applyFill="1" applyBorder="1" applyAlignment="1" applyProtection="1">
      <alignment horizontal="left" vertical="center" wrapText="1"/>
      <protection hidden="1"/>
    </xf>
    <xf numFmtId="9" fontId="10" fillId="2" borderId="26" xfId="0" applyNumberFormat="1" applyFont="1" applyFill="1" applyBorder="1" applyAlignment="1" applyProtection="1">
      <alignment horizontal="left" vertical="center" wrapText="1"/>
      <protection hidden="1"/>
    </xf>
    <xf numFmtId="9" fontId="10" fillId="2" borderId="18" xfId="0" applyNumberFormat="1" applyFont="1" applyFill="1" applyBorder="1" applyAlignment="1" applyProtection="1">
      <alignment horizontal="left" vertical="center" wrapText="1"/>
      <protection hidden="1"/>
    </xf>
    <xf numFmtId="9" fontId="10" fillId="2" borderId="27" xfId="0" applyNumberFormat="1" applyFont="1" applyFill="1" applyBorder="1" applyAlignment="1" applyProtection="1">
      <alignment horizontal="left" vertical="center" wrapText="1"/>
      <protection hidden="1"/>
    </xf>
    <xf numFmtId="9" fontId="10" fillId="2" borderId="20" xfId="0" applyNumberFormat="1" applyFont="1" applyFill="1" applyBorder="1" applyAlignment="1" applyProtection="1">
      <alignment horizontal="left" vertical="center" wrapText="1"/>
      <protection hidden="1"/>
    </xf>
    <xf numFmtId="9" fontId="10" fillId="2" borderId="28" xfId="0" applyNumberFormat="1" applyFont="1" applyFill="1" applyBorder="1" applyAlignment="1" applyProtection="1">
      <alignment horizontal="left" vertical="center" wrapText="1"/>
      <protection hidden="1"/>
    </xf>
    <xf numFmtId="9" fontId="12" fillId="2" borderId="26" xfId="0" applyNumberFormat="1" applyFont="1" applyFill="1" applyBorder="1" applyAlignment="1" applyProtection="1">
      <alignment horizontal="left" vertical="center"/>
      <protection hidden="1"/>
    </xf>
    <xf numFmtId="9" fontId="12" fillId="2" borderId="18" xfId="0" applyNumberFormat="1" applyFont="1" applyFill="1" applyBorder="1" applyAlignment="1" applyProtection="1">
      <alignment horizontal="left" vertical="center"/>
      <protection hidden="1"/>
    </xf>
    <xf numFmtId="9" fontId="12" fillId="2" borderId="27" xfId="0" applyNumberFormat="1" applyFont="1" applyFill="1" applyBorder="1" applyAlignment="1" applyProtection="1">
      <alignment horizontal="left" vertical="center"/>
      <protection hidden="1"/>
    </xf>
    <xf numFmtId="9" fontId="12" fillId="2" borderId="20" xfId="0" applyNumberFormat="1" applyFont="1" applyFill="1" applyBorder="1" applyAlignment="1" applyProtection="1">
      <alignment horizontal="left" vertical="center"/>
      <protection hidden="1"/>
    </xf>
    <xf numFmtId="9" fontId="12" fillId="2" borderId="28" xfId="0" applyNumberFormat="1" applyFont="1" applyFill="1" applyBorder="1" applyAlignment="1" applyProtection="1">
      <alignment horizontal="left" vertical="center"/>
      <protection hidden="1"/>
    </xf>
    <xf numFmtId="9" fontId="10" fillId="2" borderId="26" xfId="0" applyNumberFormat="1" applyFont="1" applyFill="1" applyBorder="1" applyAlignment="1" applyProtection="1">
      <alignment horizontal="left" vertical="center"/>
      <protection hidden="1"/>
    </xf>
    <xf numFmtId="9" fontId="10" fillId="2" borderId="18" xfId="0" applyNumberFormat="1" applyFont="1" applyFill="1" applyBorder="1" applyAlignment="1" applyProtection="1">
      <alignment horizontal="left" vertical="center"/>
      <protection hidden="1"/>
    </xf>
    <xf numFmtId="9" fontId="10" fillId="2" borderId="27" xfId="0" applyNumberFormat="1" applyFont="1" applyFill="1" applyBorder="1" applyAlignment="1" applyProtection="1">
      <alignment horizontal="left" vertical="center"/>
      <protection hidden="1"/>
    </xf>
    <xf numFmtId="9" fontId="10" fillId="2" borderId="20" xfId="0" applyNumberFormat="1" applyFont="1" applyFill="1" applyBorder="1" applyAlignment="1" applyProtection="1">
      <alignment horizontal="left" vertical="center"/>
      <protection hidden="1"/>
    </xf>
    <xf numFmtId="9" fontId="10" fillId="2" borderId="28" xfId="0" applyNumberFormat="1" applyFont="1" applyFill="1" applyBorder="1" applyAlignment="1" applyProtection="1">
      <alignment horizontal="left" vertical="center"/>
      <protection hidden="1"/>
    </xf>
    <xf numFmtId="0" fontId="11" fillId="5" borderId="18" xfId="0" applyFont="1" applyFill="1" applyBorder="1" applyAlignment="1" applyProtection="1">
      <alignment horizontal="left"/>
      <protection hidden="1"/>
    </xf>
    <xf numFmtId="0" fontId="11" fillId="5" borderId="0" xfId="0" applyFont="1" applyFill="1" applyBorder="1" applyAlignment="1" applyProtection="1">
      <alignment horizontal="left"/>
      <protection hidden="1"/>
    </xf>
    <xf numFmtId="0" fontId="10" fillId="2" borderId="15" xfId="0" applyFont="1" applyFill="1" applyBorder="1" applyAlignment="1" applyProtection="1">
      <alignment horizontal="left" vertical="center" wrapText="1"/>
      <protection hidden="1"/>
    </xf>
    <xf numFmtId="0" fontId="10" fillId="2" borderId="16" xfId="0" applyFont="1" applyFill="1" applyBorder="1" applyAlignment="1" applyProtection="1">
      <alignment horizontal="left" vertical="center" wrapText="1"/>
      <protection hidden="1"/>
    </xf>
    <xf numFmtId="0" fontId="10" fillId="2" borderId="0" xfId="0" applyFont="1" applyFill="1" applyBorder="1" applyAlignment="1" applyProtection="1">
      <alignment horizontal="left" vertical="center" wrapText="1"/>
      <protection hidden="1"/>
    </xf>
    <xf numFmtId="0" fontId="10" fillId="2" borderId="2" xfId="0" applyFont="1" applyFill="1" applyBorder="1" applyAlignment="1" applyProtection="1">
      <alignment horizontal="left" vertical="center" wrapText="1"/>
      <protection hidden="1"/>
    </xf>
    <xf numFmtId="0" fontId="10" fillId="2" borderId="21" xfId="0" applyFont="1" applyFill="1" applyBorder="1" applyAlignment="1" applyProtection="1">
      <alignment horizontal="left" vertical="center" wrapText="1"/>
      <protection hidden="1"/>
    </xf>
    <xf numFmtId="0" fontId="10" fillId="2" borderId="22" xfId="0" applyFont="1" applyFill="1" applyBorder="1" applyAlignment="1" applyProtection="1">
      <alignment horizontal="left" vertical="center" wrapText="1"/>
      <protection hidden="1"/>
    </xf>
    <xf numFmtId="0" fontId="15" fillId="2" borderId="9" xfId="0" applyFont="1" applyFill="1" applyBorder="1" applyAlignment="1" applyProtection="1">
      <alignment horizontal="left" vertical="top" wrapText="1"/>
      <protection hidden="1"/>
    </xf>
    <xf numFmtId="0" fontId="13" fillId="2" borderId="10" xfId="0" applyFont="1" applyFill="1" applyBorder="1" applyAlignment="1" applyProtection="1">
      <alignment horizontal="left" vertical="top"/>
      <protection hidden="1"/>
    </xf>
    <xf numFmtId="0" fontId="13" fillId="2" borderId="11" xfId="0" applyFont="1" applyFill="1" applyBorder="1" applyAlignment="1" applyProtection="1">
      <alignment horizontal="left" vertical="top"/>
      <protection hidden="1"/>
    </xf>
    <xf numFmtId="0" fontId="12" fillId="5" borderId="0" xfId="0" applyFont="1" applyFill="1" applyBorder="1" applyAlignment="1" applyProtection="1">
      <alignment horizontal="center"/>
      <protection hidden="1"/>
    </xf>
    <xf numFmtId="0" fontId="10" fillId="5" borderId="0" xfId="0" applyFont="1" applyFill="1" applyBorder="1" applyAlignment="1" applyProtection="1">
      <alignment horizontal="center" vertical="center" wrapText="1"/>
      <protection hidden="1"/>
    </xf>
    <xf numFmtId="0" fontId="10" fillId="5" borderId="21" xfId="0" applyFont="1" applyFill="1" applyBorder="1" applyAlignment="1" applyProtection="1">
      <alignment horizontal="center" vertical="center" wrapText="1"/>
      <protection hidden="1"/>
    </xf>
    <xf numFmtId="0" fontId="10" fillId="5" borderId="0" xfId="0" applyFont="1" applyFill="1" applyBorder="1" applyAlignment="1" applyProtection="1">
      <alignment horizontal="left" wrapText="1"/>
      <protection hidden="1"/>
    </xf>
    <xf numFmtId="0" fontId="10" fillId="0" borderId="9" xfId="0" applyFont="1" applyFill="1" applyBorder="1" applyAlignment="1" applyProtection="1">
      <alignment horizontal="left" vertical="top" wrapText="1"/>
      <protection locked="0"/>
    </xf>
    <xf numFmtId="0" fontId="10" fillId="0" borderId="10" xfId="0" applyFont="1" applyFill="1" applyBorder="1" applyAlignment="1" applyProtection="1">
      <alignment horizontal="left" vertical="top" wrapText="1"/>
      <protection locked="0"/>
    </xf>
    <xf numFmtId="0" fontId="10" fillId="0" borderId="11" xfId="0" applyFont="1" applyFill="1" applyBorder="1" applyAlignment="1" applyProtection="1">
      <alignment horizontal="left" vertical="top" wrapText="1"/>
      <protection locked="0"/>
    </xf>
    <xf numFmtId="0" fontId="14" fillId="2" borderId="9" xfId="0" applyFont="1" applyFill="1" applyBorder="1" applyAlignment="1" applyProtection="1">
      <alignment vertical="top" wrapText="1"/>
      <protection hidden="1"/>
    </xf>
    <xf numFmtId="0" fontId="20" fillId="2" borderId="10" xfId="0" applyFont="1" applyFill="1" applyBorder="1" applyAlignment="1" applyProtection="1">
      <alignment vertical="top"/>
      <protection hidden="1"/>
    </xf>
    <xf numFmtId="0" fontId="20" fillId="2" borderId="11" xfId="0" applyFont="1" applyFill="1" applyBorder="1" applyAlignment="1" applyProtection="1">
      <alignment vertical="top"/>
      <protection hidden="1"/>
    </xf>
    <xf numFmtId="0" fontId="0" fillId="0" borderId="0" xfId="0" applyAlignment="1">
      <alignment horizontal="center" wrapText="1"/>
    </xf>
  </cellXfs>
  <cellStyles count="5">
    <cellStyle name="Good" xfId="4" builtinId="26"/>
    <cellStyle name="Normal" xfId="0" builtinId="0"/>
    <cellStyle name="Normal 2" xfId="2" xr:uid="{87737C8F-61E0-4DF6-BA84-FF0ADF534884}"/>
    <cellStyle name="Normal 3" xfId="1" xr:uid="{719E74D3-F8E4-4743-84D2-77CBA0BC41C6}"/>
    <cellStyle name="Normal 4" xfId="3" xr:uid="{0E3479FE-DA31-4714-B769-BFF1C9D05F10}"/>
  </cellStyles>
  <dxfs count="30">
    <dxf>
      <fill>
        <patternFill>
          <bgColor rgb="FF92D050"/>
        </patternFill>
      </fill>
    </dxf>
    <dxf>
      <fill>
        <patternFill>
          <bgColor rgb="FF92D050"/>
        </patternFill>
      </fill>
    </dxf>
    <dxf>
      <font>
        <color auto="1"/>
      </font>
      <fill>
        <patternFill>
          <bgColor rgb="FFFFC7CE"/>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ont>
        <color auto="1"/>
      </font>
      <fill>
        <patternFill>
          <bgColor rgb="FF92D050"/>
        </patternFill>
      </fill>
    </dxf>
    <dxf>
      <fill>
        <patternFill patternType="solid">
          <bgColor theme="0"/>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ont>
        <color auto="1"/>
      </font>
      <fill>
        <patternFill>
          <bgColor rgb="FF92D050"/>
        </patternFill>
      </fill>
    </dxf>
    <dxf>
      <fill>
        <patternFill patternType="solid">
          <bgColor theme="0"/>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ont>
        <color auto="1"/>
      </font>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auto="1"/>
      </font>
      <fill>
        <patternFill>
          <bgColor rgb="FFFFC7CE"/>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ont>
        <color auto="1"/>
      </font>
      <fill>
        <patternFill>
          <bgColor rgb="FF92D050"/>
        </patternFill>
      </fill>
    </dxf>
    <dxf>
      <fill>
        <patternFill patternType="solid">
          <bgColor theme="0"/>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ont>
        <color auto="1"/>
      </font>
      <fill>
        <patternFill>
          <bgColor rgb="FF92D050"/>
        </patternFill>
      </fill>
    </dxf>
    <dxf>
      <fill>
        <patternFill patternType="solid">
          <bgColor theme="0"/>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ont>
        <color auto="1"/>
      </font>
      <fill>
        <patternFill>
          <bgColor rgb="FF92D050"/>
        </patternFill>
      </fill>
    </dxf>
    <dxf>
      <fill>
        <patternFill>
          <bgColor rgb="FF92D050"/>
        </patternFill>
      </fill>
    </dxf>
    <dxf>
      <fill>
        <patternFill>
          <bgColor rgb="FF92D050"/>
        </patternFill>
      </fill>
    </dxf>
  </dxfs>
  <tableStyles count="0" defaultTableStyle="TableStyleMedium2" defaultPivotStyle="PivotStyleLight16"/>
  <colors>
    <mruColors>
      <color rgb="FFD6DCDA"/>
      <color rgb="FFFFC7CE"/>
      <color rgb="FFC6EFCE"/>
      <color rgb="FFBDD7EE"/>
      <color rgb="FF00FF00"/>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L$36" lockText="1"/>
</file>

<file path=xl/ctrlProps/ctrlProp3.xml><?xml version="1.0" encoding="utf-8"?>
<formControlPr xmlns="http://schemas.microsoft.com/office/spreadsheetml/2009/9/main" objectType="CheckBox" fmlaLink="$L$37" lockText="1"/>
</file>

<file path=xl/ctrlProps/ctrlProp4.xml><?xml version="1.0" encoding="utf-8"?>
<formControlPr xmlns="http://schemas.microsoft.com/office/spreadsheetml/2009/9/main" objectType="CheckBox" fmlaLink="$K$47" lockText="1"/>
</file>

<file path=xl/ctrlProps/ctrlProp5.xml><?xml version="1.0" encoding="utf-8"?>
<formControlPr xmlns="http://schemas.microsoft.com/office/spreadsheetml/2009/9/main" objectType="CheckBox" fmlaLink="$K$49" lockText="1"/>
</file>

<file path=xl/ctrlProps/ctrlProp6.xml><?xml version="1.0" encoding="utf-8"?>
<formControlPr xmlns="http://schemas.microsoft.com/office/spreadsheetml/2009/9/main" objectType="CheckBox" fmlaLink="$K$48" lockText="1"/>
</file>

<file path=xl/ctrlProps/ctrlProp7.xml><?xml version="1.0" encoding="utf-8"?>
<formControlPr xmlns="http://schemas.microsoft.com/office/spreadsheetml/2009/9/main" objectType="CheckBox" fmlaLink="$K$50" lockText="1"/>
</file>

<file path=xl/ctrlProps/ctrlProp8.xml><?xml version="1.0" encoding="utf-8"?>
<formControlPr xmlns="http://schemas.microsoft.com/office/spreadsheetml/2009/9/main" objectType="CheckBox" fmlaLink="$K$51" lockText="1"/>
</file>

<file path=xl/ctrlProps/ctrlProp9.xml><?xml version="1.0" encoding="utf-8"?>
<formControlPr xmlns="http://schemas.microsoft.com/office/spreadsheetml/2009/9/main" objectType="CheckBox" fmlaLink="$K$52" lockText="1"/>
</file>

<file path=xl/ctrlProps/ctrlProp10.xml><?xml version="1.0" encoding="utf-8"?>
<formControlPr xmlns="http://schemas.microsoft.com/office/spreadsheetml/2009/9/main" objectType="CheckBox" fmlaLink="$K$53" lockText="1"/>
</file>

<file path=xl/ctrlProps/ctrlProp11.xml><?xml version="1.0" encoding="utf-8"?>
<formControlPr xmlns="http://schemas.microsoft.com/office/spreadsheetml/2009/9/main" objectType="CheckBox" fmlaLink="$K$54" lockText="1"/>
</file>

<file path=xl/ctrlProps/ctrlProp12.xml><?xml version="1.0" encoding="utf-8"?>
<formControlPr xmlns="http://schemas.microsoft.com/office/spreadsheetml/2009/9/main" objectType="CheckBox" fmlaLink="$L$47" lockText="1"/>
</file>

<file path=xl/ctrlProps/ctrlProp13.xml><?xml version="1.0" encoding="utf-8"?>
<formControlPr xmlns="http://schemas.microsoft.com/office/spreadsheetml/2009/9/main" objectType="CheckBox" fmlaLink="$L$48" lockText="1"/>
</file>

<file path=xl/ctrlProps/ctrlProp14.xml><?xml version="1.0" encoding="utf-8"?>
<formControlPr xmlns="http://schemas.microsoft.com/office/spreadsheetml/2009/9/main" objectType="CheckBox" fmlaLink="$L$49" lockText="1"/>
</file>

<file path=xl/ctrlProps/ctrlProp15.xml><?xml version="1.0" encoding="utf-8"?>
<formControlPr xmlns="http://schemas.microsoft.com/office/spreadsheetml/2009/9/main" objectType="CheckBox" fmlaLink="$L$50" lockText="1"/>
</file>

<file path=xl/ctrlProps/ctrlProp16.xml><?xml version="1.0" encoding="utf-8"?>
<formControlPr xmlns="http://schemas.microsoft.com/office/spreadsheetml/2009/9/main" objectType="CheckBox" fmlaLink="$L$51" lockText="1"/>
</file>

<file path=xl/ctrlProps/ctrlProp17.xml><?xml version="1.0" encoding="utf-8"?>
<formControlPr xmlns="http://schemas.microsoft.com/office/spreadsheetml/2009/9/main" objectType="CheckBox" fmlaLink="$L$52" lockText="1"/>
</file>

<file path=xl/ctrlProps/ctrlProp18.xml><?xml version="1.0" encoding="utf-8"?>
<formControlPr xmlns="http://schemas.microsoft.com/office/spreadsheetml/2009/9/main" objectType="CheckBox" fmlaLink="$K$76" lockText="1"/>
</file>

<file path=xl/ctrlProps/ctrlProp19.xml><?xml version="1.0" encoding="utf-8"?>
<formControlPr xmlns="http://schemas.microsoft.com/office/spreadsheetml/2009/9/main" objectType="CheckBox" fmlaLink="$K$77" lockText="1"/>
</file>

<file path=xl/ctrlProps/ctrlProp20.xml><?xml version="1.0" encoding="utf-8"?>
<formControlPr xmlns="http://schemas.microsoft.com/office/spreadsheetml/2009/9/main" objectType="CheckBox" fmlaLink="$K$78" lockText="1"/>
</file>

<file path=xl/ctrlProps/ctrlProp21.xml><?xml version="1.0" encoding="utf-8"?>
<formControlPr xmlns="http://schemas.microsoft.com/office/spreadsheetml/2009/9/main" objectType="CheckBox" fmlaLink="$K$79" lockText="1"/>
</file>

<file path=xl/ctrlProps/ctrlProp22.xml><?xml version="1.0" encoding="utf-8"?>
<formControlPr xmlns="http://schemas.microsoft.com/office/spreadsheetml/2009/9/main" objectType="CheckBox" fmlaLink="$K$80" lockText="1"/>
</file>

<file path=xl/ctrlProps/ctrlProp23.xml><?xml version="1.0" encoding="utf-8"?>
<formControlPr xmlns="http://schemas.microsoft.com/office/spreadsheetml/2009/9/main" objectType="CheckBox" fmlaLink="$K$81" lockText="1"/>
</file>

<file path=xl/ctrlProps/ctrlProp24.xml><?xml version="1.0" encoding="utf-8"?>
<formControlPr xmlns="http://schemas.microsoft.com/office/spreadsheetml/2009/9/main" objectType="CheckBox" fmlaLink="$K$82" lockText="1"/>
</file>

<file path=xl/ctrlProps/ctrlProp25.xml><?xml version="1.0" encoding="utf-8"?>
<formControlPr xmlns="http://schemas.microsoft.com/office/spreadsheetml/2009/9/main" objectType="CheckBox" fmlaLink="$K$83" lockText="1"/>
</file>

<file path=xl/ctrlProps/ctrlProp26.xml><?xml version="1.0" encoding="utf-8"?>
<formControlPr xmlns="http://schemas.microsoft.com/office/spreadsheetml/2009/9/main" objectType="CheckBox" fmlaLink="$K$93" lockText="1"/>
</file>

<file path=xl/ctrlProps/ctrlProp27.xml><?xml version="1.0" encoding="utf-8"?>
<formControlPr xmlns="http://schemas.microsoft.com/office/spreadsheetml/2009/9/main" objectType="CheckBox" fmlaLink="$K$94" lockText="1"/>
</file>

<file path=xl/ctrlProps/ctrlProp28.xml><?xml version="1.0" encoding="utf-8"?>
<formControlPr xmlns="http://schemas.microsoft.com/office/spreadsheetml/2009/9/main" objectType="CheckBox" fmlaLink="$K$95" lockText="1"/>
</file>

<file path=xl/ctrlProps/ctrlProp29.xml><?xml version="1.0" encoding="utf-8"?>
<formControlPr xmlns="http://schemas.microsoft.com/office/spreadsheetml/2009/9/main" objectType="CheckBox" fmlaLink="$K$96" lockText="1"/>
</file>

<file path=xl/ctrlProps/ctrlProp30.xml><?xml version="1.0" encoding="utf-8"?>
<formControlPr xmlns="http://schemas.microsoft.com/office/spreadsheetml/2009/9/main" objectType="CheckBox" fmlaLink="$K$120" lockText="1"/>
</file>

<file path=xl/ctrlProps/ctrlProp31.xml><?xml version="1.0" encoding="utf-8"?>
<formControlPr xmlns="http://schemas.microsoft.com/office/spreadsheetml/2009/9/main" objectType="CheckBox" fmlaLink="$K$36" lockText="1"/>
</file>

<file path=xl/ctrlProps/ctrlProp32.xml><?xml version="1.0" encoding="utf-8"?>
<formControlPr xmlns="http://schemas.microsoft.com/office/spreadsheetml/2009/9/main" objectType="CheckBox" fmlaLink="$K$37" lockText="1"/>
</file>

<file path=xl/ctrlProps/ctrlProp33.xml><?xml version="1.0" encoding="utf-8"?>
<formControlPr xmlns="http://schemas.microsoft.com/office/spreadsheetml/2009/9/main" objectType="CheckBox" fmlaLink="$K$38" lockText="1"/>
</file>

<file path=xl/ctrlProps/ctrlProp34.xml><?xml version="1.0" encoding="utf-8"?>
<formControlPr xmlns="http://schemas.microsoft.com/office/spreadsheetml/2009/9/main" objectType="CheckBox" fmlaLink="$K$39" lockText="1"/>
</file>

<file path=xl/ctrlProps/ctrlProp35.xml><?xml version="1.0" encoding="utf-8"?>
<formControlPr xmlns="http://schemas.microsoft.com/office/spreadsheetml/2009/9/main" objectType="CheckBox" fmlaLink="$K$40" lockText="1"/>
</file>

<file path=xl/ctrlProps/ctrlProp36.xml><?xml version="1.0" encoding="utf-8"?>
<formControlPr xmlns="http://schemas.microsoft.com/office/spreadsheetml/2009/9/main" objectType="CheckBox" fmlaLink="$K$41" lockText="1"/>
</file>

<file path=xl/ctrlProps/ctrlProp37.xml><?xml version="1.0" encoding="utf-8"?>
<formControlPr xmlns="http://schemas.microsoft.com/office/spreadsheetml/2009/9/main" objectType="CheckBox" fmlaLink="$K$42" lockText="1"/>
</file>

<file path=xl/ctrlProps/ctrlProp38.xml><?xml version="1.0" encoding="utf-8"?>
<formControlPr xmlns="http://schemas.microsoft.com/office/spreadsheetml/2009/9/main" objectType="CheckBox" fmlaLink="$K$43" lockText="1"/>
</file>

<file path=xl/ctrlProps/ctrlProp39.xml><?xml version="1.0" encoding="utf-8"?>
<formControlPr xmlns="http://schemas.microsoft.com/office/spreadsheetml/2009/9/main" objectType="CheckBox" fmlaLink="$L$36" lockText="1"/>
</file>

<file path=xl/ctrlProps/ctrlProp40.xml><?xml version="1.0" encoding="utf-8"?>
<formControlPr xmlns="http://schemas.microsoft.com/office/spreadsheetml/2009/9/main" objectType="CheckBox" fmlaLink="$L$37" lockText="1"/>
</file>

<file path=xl/ctrlProps/ctrlProp41.xml><?xml version="1.0" encoding="utf-8"?>
<formControlPr xmlns="http://schemas.microsoft.com/office/spreadsheetml/2009/9/main" objectType="CheckBox" fmlaLink="$K$47" lockText="1"/>
</file>

<file path=xl/ctrlProps/ctrlProp42.xml><?xml version="1.0" encoding="utf-8"?>
<formControlPr xmlns="http://schemas.microsoft.com/office/spreadsheetml/2009/9/main" objectType="CheckBox" fmlaLink="$K$49" lockText="1"/>
</file>

<file path=xl/ctrlProps/ctrlProp43.xml><?xml version="1.0" encoding="utf-8"?>
<formControlPr xmlns="http://schemas.microsoft.com/office/spreadsheetml/2009/9/main" objectType="CheckBox" fmlaLink="$K$48" lockText="1"/>
</file>

<file path=xl/ctrlProps/ctrlProp44.xml><?xml version="1.0" encoding="utf-8"?>
<formControlPr xmlns="http://schemas.microsoft.com/office/spreadsheetml/2009/9/main" objectType="CheckBox" fmlaLink="$K$50" lockText="1"/>
</file>

<file path=xl/ctrlProps/ctrlProp45.xml><?xml version="1.0" encoding="utf-8"?>
<formControlPr xmlns="http://schemas.microsoft.com/office/spreadsheetml/2009/9/main" objectType="CheckBox" fmlaLink="$K$51" lockText="1"/>
</file>

<file path=xl/ctrlProps/ctrlProp46.xml><?xml version="1.0" encoding="utf-8"?>
<formControlPr xmlns="http://schemas.microsoft.com/office/spreadsheetml/2009/9/main" objectType="CheckBox" fmlaLink="$K$52" lockText="1"/>
</file>

<file path=xl/ctrlProps/ctrlProp47.xml><?xml version="1.0" encoding="utf-8"?>
<formControlPr xmlns="http://schemas.microsoft.com/office/spreadsheetml/2009/9/main" objectType="CheckBox" fmlaLink="$K$53" lockText="1"/>
</file>

<file path=xl/ctrlProps/ctrlProp48.xml><?xml version="1.0" encoding="utf-8"?>
<formControlPr xmlns="http://schemas.microsoft.com/office/spreadsheetml/2009/9/main" objectType="CheckBox" fmlaLink="$K$54" lockText="1"/>
</file>

<file path=xl/ctrlProps/ctrlProp49.xml><?xml version="1.0" encoding="utf-8"?>
<formControlPr xmlns="http://schemas.microsoft.com/office/spreadsheetml/2009/9/main" objectType="CheckBox" fmlaLink="$L$47" lockText="1"/>
</file>

<file path=xl/ctrlProps/ctrlProp50.xml><?xml version="1.0" encoding="utf-8"?>
<formControlPr xmlns="http://schemas.microsoft.com/office/spreadsheetml/2009/9/main" objectType="CheckBox" fmlaLink="$L$48" lockText="1"/>
</file>

<file path=xl/ctrlProps/ctrlProp51.xml><?xml version="1.0" encoding="utf-8"?>
<formControlPr xmlns="http://schemas.microsoft.com/office/spreadsheetml/2009/9/main" objectType="CheckBox" fmlaLink="$L$49" lockText="1"/>
</file>

<file path=xl/ctrlProps/ctrlProp52.xml><?xml version="1.0" encoding="utf-8"?>
<formControlPr xmlns="http://schemas.microsoft.com/office/spreadsheetml/2009/9/main" objectType="CheckBox" fmlaLink="$L$50" lockText="1"/>
</file>

<file path=xl/ctrlProps/ctrlProp53.xml><?xml version="1.0" encoding="utf-8"?>
<formControlPr xmlns="http://schemas.microsoft.com/office/spreadsheetml/2009/9/main" objectType="CheckBox" fmlaLink="$L$51" lockText="1"/>
</file>

<file path=xl/ctrlProps/ctrlProp54.xml><?xml version="1.0" encoding="utf-8"?>
<formControlPr xmlns="http://schemas.microsoft.com/office/spreadsheetml/2009/9/main" objectType="CheckBox" fmlaLink="$L$52" lockText="1"/>
</file>

<file path=xl/ctrlProps/ctrlProp55.xml><?xml version="1.0" encoding="utf-8"?>
<formControlPr xmlns="http://schemas.microsoft.com/office/spreadsheetml/2009/9/main" objectType="CheckBox" fmlaLink="$K$76" lockText="1"/>
</file>

<file path=xl/ctrlProps/ctrlProp56.xml><?xml version="1.0" encoding="utf-8"?>
<formControlPr xmlns="http://schemas.microsoft.com/office/spreadsheetml/2009/9/main" objectType="CheckBox" fmlaLink="$K$77" lockText="1"/>
</file>

<file path=xl/ctrlProps/ctrlProp57.xml><?xml version="1.0" encoding="utf-8"?>
<formControlPr xmlns="http://schemas.microsoft.com/office/spreadsheetml/2009/9/main" objectType="CheckBox" fmlaLink="$K$78" lockText="1"/>
</file>

<file path=xl/ctrlProps/ctrlProp58.xml><?xml version="1.0" encoding="utf-8"?>
<formControlPr xmlns="http://schemas.microsoft.com/office/spreadsheetml/2009/9/main" objectType="CheckBox" fmlaLink="$K$79" lockText="1"/>
</file>

<file path=xl/ctrlProps/ctrlProp59.xml><?xml version="1.0" encoding="utf-8"?>
<formControlPr xmlns="http://schemas.microsoft.com/office/spreadsheetml/2009/9/main" objectType="CheckBox" fmlaLink="$K$80" lockText="1"/>
</file>

<file path=xl/ctrlProps/ctrlProp60.xml><?xml version="1.0" encoding="utf-8"?>
<formControlPr xmlns="http://schemas.microsoft.com/office/spreadsheetml/2009/9/main" objectType="CheckBox" fmlaLink="$K$81" lockText="1"/>
</file>

<file path=xl/ctrlProps/ctrlProp61.xml><?xml version="1.0" encoding="utf-8"?>
<formControlPr xmlns="http://schemas.microsoft.com/office/spreadsheetml/2009/9/main" objectType="CheckBox" fmlaLink="$K$82" lockText="1"/>
</file>

<file path=xl/ctrlProps/ctrlProp62.xml><?xml version="1.0" encoding="utf-8"?>
<formControlPr xmlns="http://schemas.microsoft.com/office/spreadsheetml/2009/9/main" objectType="CheckBox" fmlaLink="$K$83" lockText="1"/>
</file>

<file path=xl/ctrlProps/ctrlProp63.xml><?xml version="1.0" encoding="utf-8"?>
<formControlPr xmlns="http://schemas.microsoft.com/office/spreadsheetml/2009/9/main" objectType="CheckBox" fmlaLink="$K$93" lockText="1"/>
</file>

<file path=xl/ctrlProps/ctrlProp64.xml><?xml version="1.0" encoding="utf-8"?>
<formControlPr xmlns="http://schemas.microsoft.com/office/spreadsheetml/2009/9/main" objectType="CheckBox" fmlaLink="$K$94" lockText="1"/>
</file>

<file path=xl/ctrlProps/ctrlProp65.xml><?xml version="1.0" encoding="utf-8"?>
<formControlPr xmlns="http://schemas.microsoft.com/office/spreadsheetml/2009/9/main" objectType="CheckBox" fmlaLink="$K$95" lockText="1"/>
</file>

<file path=xl/ctrlProps/ctrlProp66.xml><?xml version="1.0" encoding="utf-8"?>
<formControlPr xmlns="http://schemas.microsoft.com/office/spreadsheetml/2009/9/main" objectType="CheckBox" fmlaLink="$K$96" lockText="1"/>
</file>

<file path=xl/ctrlProps/ctrlProp67.xml><?xml version="1.0" encoding="utf-8"?>
<formControlPr xmlns="http://schemas.microsoft.com/office/spreadsheetml/2009/9/main" objectType="CheckBox" fmlaLink="$K$120" lockText="1"/>
</file>

<file path=xl/ctrlProps/ctrlProp68.xml><?xml version="1.0" encoding="utf-8"?>
<formControlPr xmlns="http://schemas.microsoft.com/office/spreadsheetml/2009/9/main" objectType="CheckBox" fmlaLink="$K$36" lockText="1"/>
</file>

<file path=xl/ctrlProps/ctrlProp69.xml><?xml version="1.0" encoding="utf-8"?>
<formControlPr xmlns="http://schemas.microsoft.com/office/spreadsheetml/2009/9/main" objectType="CheckBox" fmlaLink="$K$37" lockText="1"/>
</file>

<file path=xl/ctrlProps/ctrlProp70.xml><?xml version="1.0" encoding="utf-8"?>
<formControlPr xmlns="http://schemas.microsoft.com/office/spreadsheetml/2009/9/main" objectType="CheckBox" fmlaLink="$K$38" lockText="1"/>
</file>

<file path=xl/ctrlProps/ctrlProp71.xml><?xml version="1.0" encoding="utf-8"?>
<formControlPr xmlns="http://schemas.microsoft.com/office/spreadsheetml/2009/9/main" objectType="CheckBox" fmlaLink="$K$39" lockText="1"/>
</file>

<file path=xl/ctrlProps/ctrlProp72.xml><?xml version="1.0" encoding="utf-8"?>
<formControlPr xmlns="http://schemas.microsoft.com/office/spreadsheetml/2009/9/main" objectType="CheckBox" fmlaLink="$K$40" lockText="1"/>
</file>

<file path=xl/ctrlProps/ctrlProp73.xml><?xml version="1.0" encoding="utf-8"?>
<formControlPr xmlns="http://schemas.microsoft.com/office/spreadsheetml/2009/9/main" objectType="CheckBox" fmlaLink="$K$41" lockText="1"/>
</file>

<file path=xl/ctrlProps/ctrlProp74.xml><?xml version="1.0" encoding="utf-8"?>
<formControlPr xmlns="http://schemas.microsoft.com/office/spreadsheetml/2009/9/main" objectType="CheckBox" fmlaLink="$K$42" lockText="1"/>
</file>

<file path=xl/ctrlProps/ctrlProp75.xml><?xml version="1.0" encoding="utf-8"?>
<formControlPr xmlns="http://schemas.microsoft.com/office/spreadsheetml/2009/9/main" objectType="CheckBox" fmlaLink="$K$43"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3</xdr:col>
      <xdr:colOff>1097281</xdr:colOff>
      <xdr:row>0</xdr:row>
      <xdr:rowOff>243840</xdr:rowOff>
    </xdr:from>
    <xdr:to>
      <xdr:col>4</xdr:col>
      <xdr:colOff>1040719</xdr:colOff>
      <xdr:row>1</xdr:row>
      <xdr:rowOff>319893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78581" y="243840"/>
          <a:ext cx="1086438" cy="495153"/>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AlternateContent xmlns:mc="http://schemas.openxmlformats.org/markup-compatibility/2006">
    <mc:Choice xmlns:a14="http://schemas.microsoft.com/office/drawing/2010/main" Requires="a14">
      <xdr:twoCellAnchor>
        <xdr:from>
          <xdr:col>4</xdr:col>
          <xdr:colOff>99060</xdr:colOff>
          <xdr:row>61</xdr:row>
          <xdr:rowOff>68580</xdr:rowOff>
        </xdr:from>
        <xdr:to>
          <xdr:col>6</xdr:col>
          <xdr:colOff>0</xdr:colOff>
          <xdr:row>63</xdr:row>
          <xdr:rowOff>22860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-1120140</xdr:colOff>
          <xdr:row>1</xdr:row>
          <xdr:rowOff>0</xdr:rowOff>
        </xdr:from>
        <xdr:to>
          <xdr:col>0</xdr:col>
          <xdr:colOff>-1120140</xdr:colOff>
          <xdr:row>1</xdr:row>
          <xdr:rowOff>0</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1120140" y="121920"/>
              <a:ext cx="0" cy="0"/>
              <a:chOff x="-1120140" y="121920"/>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34</xdr:row>
          <xdr:rowOff>114300</xdr:rowOff>
        </xdr:from>
        <xdr:to>
          <xdr:col>8</xdr:col>
          <xdr:colOff>266700</xdr:colOff>
          <xdr:row>36</xdr:row>
          <xdr:rowOff>30480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35</xdr:row>
          <xdr:rowOff>175260</xdr:rowOff>
        </xdr:from>
        <xdr:to>
          <xdr:col>8</xdr:col>
          <xdr:colOff>266700</xdr:colOff>
          <xdr:row>37</xdr:row>
          <xdr:rowOff>30480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xdr:colOff>
          <xdr:row>45</xdr:row>
          <xdr:rowOff>106680</xdr:rowOff>
        </xdr:from>
        <xdr:to>
          <xdr:col>4</xdr:col>
          <xdr:colOff>266700</xdr:colOff>
          <xdr:row>54</xdr:row>
          <xdr:rowOff>7620</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2895600" y="8854440"/>
              <a:ext cx="259080" cy="1501140"/>
              <a:chOff x="2644140" y="8199116"/>
              <a:chExt cx="259080" cy="1485917"/>
            </a:xfrm>
          </xdr:grpSpPr>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2659380" y="8199116"/>
                <a:ext cx="243840" cy="22097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2651760" y="85572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2651760" y="83667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2651760" y="874014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2651760" y="890778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2644140" y="90906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100-000009100000}"/>
                  </a:ext>
                </a:extLst>
              </xdr:cNvPr>
              <xdr:cNvSpPr/>
            </xdr:nvSpPr>
            <xdr:spPr bwMode="auto">
              <a:xfrm>
                <a:off x="2644140" y="92811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2644140" y="9464053"/>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30480</xdr:colOff>
          <xdr:row>45</xdr:row>
          <xdr:rowOff>99060</xdr:rowOff>
        </xdr:from>
        <xdr:to>
          <xdr:col>7</xdr:col>
          <xdr:colOff>281940</xdr:colOff>
          <xdr:row>52</xdr:row>
          <xdr:rowOff>0</xdr:rowOff>
        </xdr:to>
        <xdr:grpSp>
          <xdr:nvGrpSpPr>
            <xdr:cNvPr id="14" name="Group 13">
              <a:extLst>
                <a:ext uri="{FF2B5EF4-FFF2-40B4-BE49-F238E27FC236}">
                  <a16:creationId xmlns:a16="http://schemas.microsoft.com/office/drawing/2014/main" id="{00000000-0008-0000-0100-00000E000000}"/>
                </a:ext>
              </a:extLst>
            </xdr:cNvPr>
            <xdr:cNvGrpSpPr/>
          </xdr:nvGrpSpPr>
          <xdr:grpSpPr>
            <a:xfrm>
              <a:off x="5593080" y="8846820"/>
              <a:ext cx="251460" cy="1127760"/>
              <a:chOff x="5379720" y="8199121"/>
              <a:chExt cx="251460" cy="1120143"/>
            </a:xfrm>
          </xdr:grpSpPr>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5379720" y="8199121"/>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100-00000C100000}"/>
                  </a:ext>
                </a:extLst>
              </xdr:cNvPr>
              <xdr:cNvSpPr/>
            </xdr:nvSpPr>
            <xdr:spPr bwMode="auto">
              <a:xfrm>
                <a:off x="5387340" y="837438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100-00000D100000}"/>
                  </a:ext>
                </a:extLst>
              </xdr:cNvPr>
              <xdr:cNvSpPr/>
            </xdr:nvSpPr>
            <xdr:spPr bwMode="auto">
              <a:xfrm>
                <a:off x="5387340" y="85572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100-00000E100000}"/>
                  </a:ext>
                </a:extLst>
              </xdr:cNvPr>
              <xdr:cNvSpPr/>
            </xdr:nvSpPr>
            <xdr:spPr bwMode="auto">
              <a:xfrm>
                <a:off x="5387340" y="874014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100-00000F100000}"/>
                  </a:ext>
                </a:extLst>
              </xdr:cNvPr>
              <xdr:cNvSpPr/>
            </xdr:nvSpPr>
            <xdr:spPr bwMode="auto">
              <a:xfrm>
                <a:off x="5387340" y="891540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100-000010100000}"/>
                  </a:ext>
                </a:extLst>
              </xdr:cNvPr>
              <xdr:cNvSpPr/>
            </xdr:nvSpPr>
            <xdr:spPr bwMode="auto">
              <a:xfrm>
                <a:off x="5387340" y="9098286"/>
                <a:ext cx="243840" cy="22097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15240</xdr:colOff>
          <xdr:row>34</xdr:row>
          <xdr:rowOff>114300</xdr:rowOff>
        </xdr:from>
        <xdr:to>
          <xdr:col>5</xdr:col>
          <xdr:colOff>259080</xdr:colOff>
          <xdr:row>43</xdr:row>
          <xdr:rowOff>30480</xdr:rowOff>
        </xdr:to>
        <xdr:grpSp>
          <xdr:nvGrpSpPr>
            <xdr:cNvPr id="21" name="Group 57">
              <a:extLst>
                <a:ext uri="{FF2B5EF4-FFF2-40B4-BE49-F238E27FC236}">
                  <a16:creationId xmlns:a16="http://schemas.microsoft.com/office/drawing/2014/main" id="{00000000-0008-0000-0100-000015000000}"/>
                </a:ext>
              </a:extLst>
            </xdr:cNvPr>
            <xdr:cNvGrpSpPr>
              <a:grpSpLocks/>
            </xdr:cNvGrpSpPr>
          </xdr:nvGrpSpPr>
          <xdr:grpSpPr bwMode="auto">
            <a:xfrm>
              <a:off x="3779520" y="6888480"/>
              <a:ext cx="243840" cy="1501140"/>
              <a:chOff x="48996" y="56540"/>
              <a:chExt cx="2438" cy="15011"/>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74</xdr:row>
          <xdr:rowOff>99060</xdr:rowOff>
        </xdr:from>
        <xdr:to>
          <xdr:col>4</xdr:col>
          <xdr:colOff>259080</xdr:colOff>
          <xdr:row>76</xdr:row>
          <xdr:rowOff>15240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75</xdr:row>
          <xdr:rowOff>167640</xdr:rowOff>
        </xdr:from>
        <xdr:to>
          <xdr:col>4</xdr:col>
          <xdr:colOff>259080</xdr:colOff>
          <xdr:row>77</xdr:row>
          <xdr:rowOff>22860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1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76</xdr:row>
          <xdr:rowOff>167640</xdr:rowOff>
        </xdr:from>
        <xdr:to>
          <xdr:col>4</xdr:col>
          <xdr:colOff>259080</xdr:colOff>
          <xdr:row>78</xdr:row>
          <xdr:rowOff>22860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77</xdr:row>
          <xdr:rowOff>160020</xdr:rowOff>
        </xdr:from>
        <xdr:to>
          <xdr:col>4</xdr:col>
          <xdr:colOff>259080</xdr:colOff>
          <xdr:row>79</xdr:row>
          <xdr:rowOff>15240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1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78</xdr:row>
          <xdr:rowOff>152400</xdr:rowOff>
        </xdr:from>
        <xdr:to>
          <xdr:col>4</xdr:col>
          <xdr:colOff>259080</xdr:colOff>
          <xdr:row>80</xdr:row>
          <xdr:rowOff>7620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1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79</xdr:row>
          <xdr:rowOff>160020</xdr:rowOff>
        </xdr:from>
        <xdr:to>
          <xdr:col>4</xdr:col>
          <xdr:colOff>251460</xdr:colOff>
          <xdr:row>81</xdr:row>
          <xdr:rowOff>15240</xdr:rowOff>
        </xdr:to>
        <xdr:sp macro="" textlink="">
          <xdr:nvSpPr>
            <xdr:cNvPr id="4118" name="Check Box 22" hidden="1">
              <a:extLst>
                <a:ext uri="{63B3BB69-23CF-44E3-9099-C40C66FF867C}">
                  <a14:compatExt spid="_x0000_s4118"/>
                </a:ext>
                <a:ext uri="{FF2B5EF4-FFF2-40B4-BE49-F238E27FC236}">
                  <a16:creationId xmlns:a16="http://schemas.microsoft.com/office/drawing/2014/main" id="{00000000-0008-0000-0100-00001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80</xdr:row>
          <xdr:rowOff>152400</xdr:rowOff>
        </xdr:from>
        <xdr:to>
          <xdr:col>4</xdr:col>
          <xdr:colOff>251460</xdr:colOff>
          <xdr:row>82</xdr:row>
          <xdr:rowOff>7620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1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81</xdr:row>
          <xdr:rowOff>160020</xdr:rowOff>
        </xdr:from>
        <xdr:to>
          <xdr:col>4</xdr:col>
          <xdr:colOff>251460</xdr:colOff>
          <xdr:row>83</xdr:row>
          <xdr:rowOff>15240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1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91</xdr:row>
          <xdr:rowOff>106680</xdr:rowOff>
        </xdr:from>
        <xdr:to>
          <xdr:col>4</xdr:col>
          <xdr:colOff>274320</xdr:colOff>
          <xdr:row>93</xdr:row>
          <xdr:rowOff>22860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92</xdr:row>
          <xdr:rowOff>160020</xdr:rowOff>
        </xdr:from>
        <xdr:to>
          <xdr:col>4</xdr:col>
          <xdr:colOff>274320</xdr:colOff>
          <xdr:row>94</xdr:row>
          <xdr:rowOff>15240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1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93</xdr:row>
          <xdr:rowOff>167640</xdr:rowOff>
        </xdr:from>
        <xdr:to>
          <xdr:col>4</xdr:col>
          <xdr:colOff>274320</xdr:colOff>
          <xdr:row>95</xdr:row>
          <xdr:rowOff>22860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1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94</xdr:row>
          <xdr:rowOff>167640</xdr:rowOff>
        </xdr:from>
        <xdr:to>
          <xdr:col>4</xdr:col>
          <xdr:colOff>274320</xdr:colOff>
          <xdr:row>96</xdr:row>
          <xdr:rowOff>22860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1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167640</xdr:colOff>
          <xdr:row>119</xdr:row>
          <xdr:rowOff>7620</xdr:rowOff>
        </xdr:from>
        <xdr:to>
          <xdr:col>4</xdr:col>
          <xdr:colOff>411480</xdr:colOff>
          <xdr:row>120</xdr:row>
          <xdr:rowOff>45720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1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868680</xdr:colOff>
          <xdr:row>34</xdr:row>
          <xdr:rowOff>99060</xdr:rowOff>
        </xdr:from>
        <xdr:to>
          <xdr:col>5</xdr:col>
          <xdr:colOff>236220</xdr:colOff>
          <xdr:row>36</xdr:row>
          <xdr:rowOff>15240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1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35</xdr:row>
          <xdr:rowOff>152400</xdr:rowOff>
        </xdr:from>
        <xdr:to>
          <xdr:col>5</xdr:col>
          <xdr:colOff>243840</xdr:colOff>
          <xdr:row>37</xdr:row>
          <xdr:rowOff>7620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1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36</xdr:row>
          <xdr:rowOff>167640</xdr:rowOff>
        </xdr:from>
        <xdr:to>
          <xdr:col>5</xdr:col>
          <xdr:colOff>243840</xdr:colOff>
          <xdr:row>38</xdr:row>
          <xdr:rowOff>22860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1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37</xdr:row>
          <xdr:rowOff>160020</xdr:rowOff>
        </xdr:from>
        <xdr:to>
          <xdr:col>5</xdr:col>
          <xdr:colOff>243840</xdr:colOff>
          <xdr:row>39</xdr:row>
          <xdr:rowOff>15240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1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38</xdr:row>
          <xdr:rowOff>160020</xdr:rowOff>
        </xdr:from>
        <xdr:to>
          <xdr:col>5</xdr:col>
          <xdr:colOff>243840</xdr:colOff>
          <xdr:row>40</xdr:row>
          <xdr:rowOff>15240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1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39</xdr:row>
          <xdr:rowOff>152400</xdr:rowOff>
        </xdr:from>
        <xdr:to>
          <xdr:col>5</xdr:col>
          <xdr:colOff>243840</xdr:colOff>
          <xdr:row>41</xdr:row>
          <xdr:rowOff>7620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1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40</xdr:row>
          <xdr:rowOff>152400</xdr:rowOff>
        </xdr:from>
        <xdr:to>
          <xdr:col>5</xdr:col>
          <xdr:colOff>243840</xdr:colOff>
          <xdr:row>42</xdr:row>
          <xdr:rowOff>7620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1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41</xdr:row>
          <xdr:rowOff>160020</xdr:rowOff>
        </xdr:from>
        <xdr:to>
          <xdr:col>5</xdr:col>
          <xdr:colOff>251460</xdr:colOff>
          <xdr:row>43</xdr:row>
          <xdr:rowOff>15240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1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-1120140</xdr:colOff>
          <xdr:row>0</xdr:row>
          <xdr:rowOff>175260</xdr:rowOff>
        </xdr:from>
        <xdr:to>
          <xdr:col>0</xdr:col>
          <xdr:colOff>-1120140</xdr:colOff>
          <xdr:row>0</xdr:row>
          <xdr:rowOff>175260</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1120140" y="121920"/>
              <a:ext cx="0" cy="0"/>
              <a:chOff x="-1120140" y="121920"/>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34</xdr:row>
          <xdr:rowOff>114300</xdr:rowOff>
        </xdr:from>
        <xdr:to>
          <xdr:col>8</xdr:col>
          <xdr:colOff>266700</xdr:colOff>
          <xdr:row>36</xdr:row>
          <xdr:rowOff>30480</xdr:rowOff>
        </xdr:to>
        <xdr:sp macro="" textlink="">
          <xdr:nvSpPr>
            <xdr:cNvPr id="2085" name="Check Box 37" hidden="1">
              <a:extLst>
                <a:ext uri="{63B3BB69-23CF-44E3-9099-C40C66FF867C}">
                  <a14:compatExt spid="_x0000_s2085"/>
                </a:ext>
                <a:ext uri="{FF2B5EF4-FFF2-40B4-BE49-F238E27FC236}">
                  <a16:creationId xmlns:a16="http://schemas.microsoft.com/office/drawing/2014/main" id="{00000000-0008-0000-0200-00002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35</xdr:row>
          <xdr:rowOff>175260</xdr:rowOff>
        </xdr:from>
        <xdr:to>
          <xdr:col>8</xdr:col>
          <xdr:colOff>266700</xdr:colOff>
          <xdr:row>37</xdr:row>
          <xdr:rowOff>30480</xdr:rowOff>
        </xdr:to>
        <xdr:sp macro="" textlink="">
          <xdr:nvSpPr>
            <xdr:cNvPr id="2086" name="Check Box 38"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xdr:colOff>
          <xdr:row>45</xdr:row>
          <xdr:rowOff>106680</xdr:rowOff>
        </xdr:from>
        <xdr:to>
          <xdr:col>4</xdr:col>
          <xdr:colOff>266700</xdr:colOff>
          <xdr:row>54</xdr:row>
          <xdr:rowOff>7620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2895600" y="8854430"/>
              <a:ext cx="259080" cy="1501161"/>
              <a:chOff x="2644140" y="8199111"/>
              <a:chExt cx="259080" cy="1485920"/>
            </a:xfrm>
          </xdr:grpSpPr>
          <xdr:sp macro="" textlink="">
            <xdr:nvSpPr>
              <xdr:cNvPr id="2137" name="Check Box 89" hidden="1">
                <a:extLst>
                  <a:ext uri="{63B3BB69-23CF-44E3-9099-C40C66FF867C}">
                    <a14:compatExt spid="_x0000_s2137"/>
                  </a:ext>
                  <a:ext uri="{FF2B5EF4-FFF2-40B4-BE49-F238E27FC236}">
                    <a16:creationId xmlns:a16="http://schemas.microsoft.com/office/drawing/2014/main" id="{00000000-0008-0000-0200-000059080000}"/>
                  </a:ext>
                </a:extLst>
              </xdr:cNvPr>
              <xdr:cNvSpPr/>
            </xdr:nvSpPr>
            <xdr:spPr bwMode="auto">
              <a:xfrm>
                <a:off x="2659380" y="8199111"/>
                <a:ext cx="243840" cy="22097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85" name="Check Box 137" hidden="1">
                <a:extLst>
                  <a:ext uri="{63B3BB69-23CF-44E3-9099-C40C66FF867C}">
                    <a14:compatExt spid="_x0000_s2185"/>
                  </a:ext>
                  <a:ext uri="{FF2B5EF4-FFF2-40B4-BE49-F238E27FC236}">
                    <a16:creationId xmlns:a16="http://schemas.microsoft.com/office/drawing/2014/main" id="{00000000-0008-0000-0200-000089080000}"/>
                  </a:ext>
                </a:extLst>
              </xdr:cNvPr>
              <xdr:cNvSpPr/>
            </xdr:nvSpPr>
            <xdr:spPr bwMode="auto">
              <a:xfrm>
                <a:off x="2651760" y="85572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86" name="Check Box 138" hidden="1">
                <a:extLst>
                  <a:ext uri="{63B3BB69-23CF-44E3-9099-C40C66FF867C}">
                    <a14:compatExt spid="_x0000_s2186"/>
                  </a:ext>
                  <a:ext uri="{FF2B5EF4-FFF2-40B4-BE49-F238E27FC236}">
                    <a16:creationId xmlns:a16="http://schemas.microsoft.com/office/drawing/2014/main" id="{00000000-0008-0000-0200-00008A080000}"/>
                  </a:ext>
                </a:extLst>
              </xdr:cNvPr>
              <xdr:cNvSpPr/>
            </xdr:nvSpPr>
            <xdr:spPr bwMode="auto">
              <a:xfrm>
                <a:off x="2651760" y="83667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87" name="Check Box 139" hidden="1">
                <a:extLst>
                  <a:ext uri="{63B3BB69-23CF-44E3-9099-C40C66FF867C}">
                    <a14:compatExt spid="_x0000_s2187"/>
                  </a:ext>
                  <a:ext uri="{FF2B5EF4-FFF2-40B4-BE49-F238E27FC236}">
                    <a16:creationId xmlns:a16="http://schemas.microsoft.com/office/drawing/2014/main" id="{00000000-0008-0000-0200-00008B080000}"/>
                  </a:ext>
                </a:extLst>
              </xdr:cNvPr>
              <xdr:cNvSpPr/>
            </xdr:nvSpPr>
            <xdr:spPr bwMode="auto">
              <a:xfrm>
                <a:off x="2651760" y="874014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88" name="Check Box 140" hidden="1">
                <a:extLst>
                  <a:ext uri="{63B3BB69-23CF-44E3-9099-C40C66FF867C}">
                    <a14:compatExt spid="_x0000_s2188"/>
                  </a:ext>
                  <a:ext uri="{FF2B5EF4-FFF2-40B4-BE49-F238E27FC236}">
                    <a16:creationId xmlns:a16="http://schemas.microsoft.com/office/drawing/2014/main" id="{00000000-0008-0000-0200-00008C080000}"/>
                  </a:ext>
                </a:extLst>
              </xdr:cNvPr>
              <xdr:cNvSpPr/>
            </xdr:nvSpPr>
            <xdr:spPr bwMode="auto">
              <a:xfrm>
                <a:off x="2651760" y="890778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89" name="Check Box 141" hidden="1">
                <a:extLst>
                  <a:ext uri="{63B3BB69-23CF-44E3-9099-C40C66FF867C}">
                    <a14:compatExt spid="_x0000_s2189"/>
                  </a:ext>
                  <a:ext uri="{FF2B5EF4-FFF2-40B4-BE49-F238E27FC236}">
                    <a16:creationId xmlns:a16="http://schemas.microsoft.com/office/drawing/2014/main" id="{00000000-0008-0000-0200-00008D080000}"/>
                  </a:ext>
                </a:extLst>
              </xdr:cNvPr>
              <xdr:cNvSpPr/>
            </xdr:nvSpPr>
            <xdr:spPr bwMode="auto">
              <a:xfrm>
                <a:off x="2644140" y="90906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0" name="Check Box 142" hidden="1">
                <a:extLst>
                  <a:ext uri="{63B3BB69-23CF-44E3-9099-C40C66FF867C}">
                    <a14:compatExt spid="_x0000_s2190"/>
                  </a:ext>
                  <a:ext uri="{FF2B5EF4-FFF2-40B4-BE49-F238E27FC236}">
                    <a16:creationId xmlns:a16="http://schemas.microsoft.com/office/drawing/2014/main" id="{00000000-0008-0000-0200-00008E080000}"/>
                  </a:ext>
                </a:extLst>
              </xdr:cNvPr>
              <xdr:cNvSpPr/>
            </xdr:nvSpPr>
            <xdr:spPr bwMode="auto">
              <a:xfrm>
                <a:off x="2644140" y="92811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1" name="Check Box 143" hidden="1">
                <a:extLst>
                  <a:ext uri="{63B3BB69-23CF-44E3-9099-C40C66FF867C}">
                    <a14:compatExt spid="_x0000_s2191"/>
                  </a:ext>
                  <a:ext uri="{FF2B5EF4-FFF2-40B4-BE49-F238E27FC236}">
                    <a16:creationId xmlns:a16="http://schemas.microsoft.com/office/drawing/2014/main" id="{00000000-0008-0000-0200-00008F080000}"/>
                  </a:ext>
                </a:extLst>
              </xdr:cNvPr>
              <xdr:cNvSpPr/>
            </xdr:nvSpPr>
            <xdr:spPr bwMode="auto">
              <a:xfrm>
                <a:off x="2644140" y="9464051"/>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30480</xdr:colOff>
          <xdr:row>45</xdr:row>
          <xdr:rowOff>99060</xdr:rowOff>
        </xdr:from>
        <xdr:to>
          <xdr:col>7</xdr:col>
          <xdr:colOff>281940</xdr:colOff>
          <xdr:row>52</xdr:row>
          <xdr:rowOff>0</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5593080" y="8846824"/>
              <a:ext cx="251460" cy="1127766"/>
              <a:chOff x="5379720" y="8199123"/>
              <a:chExt cx="251460" cy="1120142"/>
            </a:xfrm>
          </xdr:grpSpPr>
          <xdr:sp macro="" textlink="">
            <xdr:nvSpPr>
              <xdr:cNvPr id="2192" name="Check Box 144" hidden="1">
                <a:extLst>
                  <a:ext uri="{63B3BB69-23CF-44E3-9099-C40C66FF867C}">
                    <a14:compatExt spid="_x0000_s2192"/>
                  </a:ext>
                  <a:ext uri="{FF2B5EF4-FFF2-40B4-BE49-F238E27FC236}">
                    <a16:creationId xmlns:a16="http://schemas.microsoft.com/office/drawing/2014/main" id="{00000000-0008-0000-0200-000090080000}"/>
                  </a:ext>
                </a:extLst>
              </xdr:cNvPr>
              <xdr:cNvSpPr/>
            </xdr:nvSpPr>
            <xdr:spPr bwMode="auto">
              <a:xfrm>
                <a:off x="5379720" y="8199123"/>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3" name="Check Box 145" hidden="1">
                <a:extLst>
                  <a:ext uri="{63B3BB69-23CF-44E3-9099-C40C66FF867C}">
                    <a14:compatExt spid="_x0000_s2193"/>
                  </a:ext>
                  <a:ext uri="{FF2B5EF4-FFF2-40B4-BE49-F238E27FC236}">
                    <a16:creationId xmlns:a16="http://schemas.microsoft.com/office/drawing/2014/main" id="{00000000-0008-0000-0200-000091080000}"/>
                  </a:ext>
                </a:extLst>
              </xdr:cNvPr>
              <xdr:cNvSpPr/>
            </xdr:nvSpPr>
            <xdr:spPr bwMode="auto">
              <a:xfrm>
                <a:off x="5387340" y="837438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4" name="Check Box 146" hidden="1">
                <a:extLst>
                  <a:ext uri="{63B3BB69-23CF-44E3-9099-C40C66FF867C}">
                    <a14:compatExt spid="_x0000_s2194"/>
                  </a:ext>
                  <a:ext uri="{FF2B5EF4-FFF2-40B4-BE49-F238E27FC236}">
                    <a16:creationId xmlns:a16="http://schemas.microsoft.com/office/drawing/2014/main" id="{00000000-0008-0000-0200-000092080000}"/>
                  </a:ext>
                </a:extLst>
              </xdr:cNvPr>
              <xdr:cNvSpPr/>
            </xdr:nvSpPr>
            <xdr:spPr bwMode="auto">
              <a:xfrm>
                <a:off x="5387340" y="85572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5" name="Check Box 147" hidden="1">
                <a:extLst>
                  <a:ext uri="{63B3BB69-23CF-44E3-9099-C40C66FF867C}">
                    <a14:compatExt spid="_x0000_s2195"/>
                  </a:ext>
                  <a:ext uri="{FF2B5EF4-FFF2-40B4-BE49-F238E27FC236}">
                    <a16:creationId xmlns:a16="http://schemas.microsoft.com/office/drawing/2014/main" id="{00000000-0008-0000-0200-000093080000}"/>
                  </a:ext>
                </a:extLst>
              </xdr:cNvPr>
              <xdr:cNvSpPr/>
            </xdr:nvSpPr>
            <xdr:spPr bwMode="auto">
              <a:xfrm>
                <a:off x="5387340" y="874014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6" name="Check Box 148" hidden="1">
                <a:extLst>
                  <a:ext uri="{63B3BB69-23CF-44E3-9099-C40C66FF867C}">
                    <a14:compatExt spid="_x0000_s2196"/>
                  </a:ext>
                  <a:ext uri="{FF2B5EF4-FFF2-40B4-BE49-F238E27FC236}">
                    <a16:creationId xmlns:a16="http://schemas.microsoft.com/office/drawing/2014/main" id="{00000000-0008-0000-0200-000094080000}"/>
                  </a:ext>
                </a:extLst>
              </xdr:cNvPr>
              <xdr:cNvSpPr/>
            </xdr:nvSpPr>
            <xdr:spPr bwMode="auto">
              <a:xfrm>
                <a:off x="5387340" y="891540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7" name="Check Box 149" hidden="1">
                <a:extLst>
                  <a:ext uri="{63B3BB69-23CF-44E3-9099-C40C66FF867C}">
                    <a14:compatExt spid="_x0000_s2197"/>
                  </a:ext>
                  <a:ext uri="{FF2B5EF4-FFF2-40B4-BE49-F238E27FC236}">
                    <a16:creationId xmlns:a16="http://schemas.microsoft.com/office/drawing/2014/main" id="{00000000-0008-0000-0200-000095080000}"/>
                  </a:ext>
                </a:extLst>
              </xdr:cNvPr>
              <xdr:cNvSpPr/>
            </xdr:nvSpPr>
            <xdr:spPr bwMode="auto">
              <a:xfrm>
                <a:off x="5387340" y="9098287"/>
                <a:ext cx="243840" cy="22097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15240</xdr:colOff>
          <xdr:row>34</xdr:row>
          <xdr:rowOff>114300</xdr:rowOff>
        </xdr:from>
        <xdr:to>
          <xdr:col>5</xdr:col>
          <xdr:colOff>259080</xdr:colOff>
          <xdr:row>43</xdr:row>
          <xdr:rowOff>30480</xdr:rowOff>
        </xdr:to>
        <xdr:grpSp>
          <xdr:nvGrpSpPr>
            <xdr:cNvPr id="2105" name="Group 57">
              <a:extLst>
                <a:ext uri="{FF2B5EF4-FFF2-40B4-BE49-F238E27FC236}">
                  <a16:creationId xmlns:a16="http://schemas.microsoft.com/office/drawing/2014/main" id="{00000000-0008-0000-0200-000039080000}"/>
                </a:ext>
              </a:extLst>
            </xdr:cNvPr>
            <xdr:cNvGrpSpPr>
              <a:grpSpLocks/>
            </xdr:cNvGrpSpPr>
          </xdr:nvGrpSpPr>
          <xdr:grpSpPr bwMode="auto">
            <a:xfrm>
              <a:off x="3779520" y="6888480"/>
              <a:ext cx="243840" cy="1501140"/>
              <a:chOff x="48996" y="56540"/>
              <a:chExt cx="2438" cy="15011"/>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74</xdr:row>
          <xdr:rowOff>99060</xdr:rowOff>
        </xdr:from>
        <xdr:to>
          <xdr:col>4</xdr:col>
          <xdr:colOff>259080</xdr:colOff>
          <xdr:row>76</xdr:row>
          <xdr:rowOff>15240</xdr:rowOff>
        </xdr:to>
        <xdr:sp macro="" textlink="">
          <xdr:nvSpPr>
            <xdr:cNvPr id="2202" name="Check Box 154" hidden="1">
              <a:extLst>
                <a:ext uri="{63B3BB69-23CF-44E3-9099-C40C66FF867C}">
                  <a14:compatExt spid="_x0000_s2202"/>
                </a:ext>
                <a:ext uri="{FF2B5EF4-FFF2-40B4-BE49-F238E27FC236}">
                  <a16:creationId xmlns:a16="http://schemas.microsoft.com/office/drawing/2014/main" id="{00000000-0008-0000-0200-00009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75</xdr:row>
          <xdr:rowOff>167640</xdr:rowOff>
        </xdr:from>
        <xdr:to>
          <xdr:col>4</xdr:col>
          <xdr:colOff>259080</xdr:colOff>
          <xdr:row>77</xdr:row>
          <xdr:rowOff>22860</xdr:rowOff>
        </xdr:to>
        <xdr:sp macro="" textlink="">
          <xdr:nvSpPr>
            <xdr:cNvPr id="2203" name="Check Box 155" hidden="1">
              <a:extLst>
                <a:ext uri="{63B3BB69-23CF-44E3-9099-C40C66FF867C}">
                  <a14:compatExt spid="_x0000_s2203"/>
                </a:ext>
                <a:ext uri="{FF2B5EF4-FFF2-40B4-BE49-F238E27FC236}">
                  <a16:creationId xmlns:a16="http://schemas.microsoft.com/office/drawing/2014/main" id="{00000000-0008-0000-0200-00009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76</xdr:row>
          <xdr:rowOff>167640</xdr:rowOff>
        </xdr:from>
        <xdr:to>
          <xdr:col>4</xdr:col>
          <xdr:colOff>259080</xdr:colOff>
          <xdr:row>78</xdr:row>
          <xdr:rowOff>22860</xdr:rowOff>
        </xdr:to>
        <xdr:sp macro="" textlink="">
          <xdr:nvSpPr>
            <xdr:cNvPr id="2204" name="Check Box 156" hidden="1">
              <a:extLst>
                <a:ext uri="{63B3BB69-23CF-44E3-9099-C40C66FF867C}">
                  <a14:compatExt spid="_x0000_s2204"/>
                </a:ext>
                <a:ext uri="{FF2B5EF4-FFF2-40B4-BE49-F238E27FC236}">
                  <a16:creationId xmlns:a16="http://schemas.microsoft.com/office/drawing/2014/main" id="{00000000-0008-0000-0200-00009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77</xdr:row>
          <xdr:rowOff>160020</xdr:rowOff>
        </xdr:from>
        <xdr:to>
          <xdr:col>4</xdr:col>
          <xdr:colOff>259080</xdr:colOff>
          <xdr:row>79</xdr:row>
          <xdr:rowOff>15240</xdr:rowOff>
        </xdr:to>
        <xdr:sp macro="" textlink="">
          <xdr:nvSpPr>
            <xdr:cNvPr id="2205" name="Check Box 157" hidden="1">
              <a:extLst>
                <a:ext uri="{63B3BB69-23CF-44E3-9099-C40C66FF867C}">
                  <a14:compatExt spid="_x0000_s2205"/>
                </a:ext>
                <a:ext uri="{FF2B5EF4-FFF2-40B4-BE49-F238E27FC236}">
                  <a16:creationId xmlns:a16="http://schemas.microsoft.com/office/drawing/2014/main" id="{00000000-0008-0000-0200-00009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78</xdr:row>
          <xdr:rowOff>152400</xdr:rowOff>
        </xdr:from>
        <xdr:to>
          <xdr:col>4</xdr:col>
          <xdr:colOff>259080</xdr:colOff>
          <xdr:row>80</xdr:row>
          <xdr:rowOff>7620</xdr:rowOff>
        </xdr:to>
        <xdr:sp macro="" textlink="">
          <xdr:nvSpPr>
            <xdr:cNvPr id="2206" name="Check Box 158" hidden="1">
              <a:extLst>
                <a:ext uri="{63B3BB69-23CF-44E3-9099-C40C66FF867C}">
                  <a14:compatExt spid="_x0000_s2206"/>
                </a:ext>
                <a:ext uri="{FF2B5EF4-FFF2-40B4-BE49-F238E27FC236}">
                  <a16:creationId xmlns:a16="http://schemas.microsoft.com/office/drawing/2014/main" id="{00000000-0008-0000-0200-00009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79</xdr:row>
          <xdr:rowOff>160020</xdr:rowOff>
        </xdr:from>
        <xdr:to>
          <xdr:col>4</xdr:col>
          <xdr:colOff>251460</xdr:colOff>
          <xdr:row>81</xdr:row>
          <xdr:rowOff>15240</xdr:rowOff>
        </xdr:to>
        <xdr:sp macro="" textlink="">
          <xdr:nvSpPr>
            <xdr:cNvPr id="2207" name="Check Box 159" hidden="1">
              <a:extLst>
                <a:ext uri="{63B3BB69-23CF-44E3-9099-C40C66FF867C}">
                  <a14:compatExt spid="_x0000_s2207"/>
                </a:ext>
                <a:ext uri="{FF2B5EF4-FFF2-40B4-BE49-F238E27FC236}">
                  <a16:creationId xmlns:a16="http://schemas.microsoft.com/office/drawing/2014/main" id="{00000000-0008-0000-0200-00009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80</xdr:row>
          <xdr:rowOff>152400</xdr:rowOff>
        </xdr:from>
        <xdr:to>
          <xdr:col>4</xdr:col>
          <xdr:colOff>251460</xdr:colOff>
          <xdr:row>82</xdr:row>
          <xdr:rowOff>7620</xdr:rowOff>
        </xdr:to>
        <xdr:sp macro="" textlink="">
          <xdr:nvSpPr>
            <xdr:cNvPr id="2208" name="Check Box 160" hidden="1">
              <a:extLst>
                <a:ext uri="{63B3BB69-23CF-44E3-9099-C40C66FF867C}">
                  <a14:compatExt spid="_x0000_s2208"/>
                </a:ext>
                <a:ext uri="{FF2B5EF4-FFF2-40B4-BE49-F238E27FC236}">
                  <a16:creationId xmlns:a16="http://schemas.microsoft.com/office/drawing/2014/main" id="{00000000-0008-0000-0200-0000A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81</xdr:row>
          <xdr:rowOff>160020</xdr:rowOff>
        </xdr:from>
        <xdr:to>
          <xdr:col>4</xdr:col>
          <xdr:colOff>251460</xdr:colOff>
          <xdr:row>83</xdr:row>
          <xdr:rowOff>15240</xdr:rowOff>
        </xdr:to>
        <xdr:sp macro="" textlink="">
          <xdr:nvSpPr>
            <xdr:cNvPr id="2209" name="Check Box 161" hidden="1">
              <a:extLst>
                <a:ext uri="{63B3BB69-23CF-44E3-9099-C40C66FF867C}">
                  <a14:compatExt spid="_x0000_s2209"/>
                </a:ext>
                <a:ext uri="{FF2B5EF4-FFF2-40B4-BE49-F238E27FC236}">
                  <a16:creationId xmlns:a16="http://schemas.microsoft.com/office/drawing/2014/main" id="{00000000-0008-0000-0200-0000A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91</xdr:row>
          <xdr:rowOff>106680</xdr:rowOff>
        </xdr:from>
        <xdr:to>
          <xdr:col>4</xdr:col>
          <xdr:colOff>274320</xdr:colOff>
          <xdr:row>93</xdr:row>
          <xdr:rowOff>22860</xdr:rowOff>
        </xdr:to>
        <xdr:sp macro="" textlink="">
          <xdr:nvSpPr>
            <xdr:cNvPr id="2215" name="Check Box 167" hidden="1">
              <a:extLst>
                <a:ext uri="{63B3BB69-23CF-44E3-9099-C40C66FF867C}">
                  <a14:compatExt spid="_x0000_s2215"/>
                </a:ext>
                <a:ext uri="{FF2B5EF4-FFF2-40B4-BE49-F238E27FC236}">
                  <a16:creationId xmlns:a16="http://schemas.microsoft.com/office/drawing/2014/main" id="{00000000-0008-0000-0200-0000A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92</xdr:row>
          <xdr:rowOff>160020</xdr:rowOff>
        </xdr:from>
        <xdr:to>
          <xdr:col>4</xdr:col>
          <xdr:colOff>274320</xdr:colOff>
          <xdr:row>94</xdr:row>
          <xdr:rowOff>15240</xdr:rowOff>
        </xdr:to>
        <xdr:sp macro="" textlink="">
          <xdr:nvSpPr>
            <xdr:cNvPr id="2216" name="Check Box 168" hidden="1">
              <a:extLst>
                <a:ext uri="{63B3BB69-23CF-44E3-9099-C40C66FF867C}">
                  <a14:compatExt spid="_x0000_s2216"/>
                </a:ext>
                <a:ext uri="{FF2B5EF4-FFF2-40B4-BE49-F238E27FC236}">
                  <a16:creationId xmlns:a16="http://schemas.microsoft.com/office/drawing/2014/main" id="{00000000-0008-0000-0200-0000A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93</xdr:row>
          <xdr:rowOff>167640</xdr:rowOff>
        </xdr:from>
        <xdr:to>
          <xdr:col>4</xdr:col>
          <xdr:colOff>274320</xdr:colOff>
          <xdr:row>95</xdr:row>
          <xdr:rowOff>22860</xdr:rowOff>
        </xdr:to>
        <xdr:sp macro="" textlink="">
          <xdr:nvSpPr>
            <xdr:cNvPr id="2217" name="Check Box 169" hidden="1">
              <a:extLst>
                <a:ext uri="{63B3BB69-23CF-44E3-9099-C40C66FF867C}">
                  <a14:compatExt spid="_x0000_s2217"/>
                </a:ext>
                <a:ext uri="{FF2B5EF4-FFF2-40B4-BE49-F238E27FC236}">
                  <a16:creationId xmlns:a16="http://schemas.microsoft.com/office/drawing/2014/main" id="{00000000-0008-0000-0200-0000A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94</xdr:row>
          <xdr:rowOff>167640</xdr:rowOff>
        </xdr:from>
        <xdr:to>
          <xdr:col>4</xdr:col>
          <xdr:colOff>274320</xdr:colOff>
          <xdr:row>96</xdr:row>
          <xdr:rowOff>22860</xdr:rowOff>
        </xdr:to>
        <xdr:sp macro="" textlink="">
          <xdr:nvSpPr>
            <xdr:cNvPr id="2218" name="Check Box 170" hidden="1">
              <a:extLst>
                <a:ext uri="{63B3BB69-23CF-44E3-9099-C40C66FF867C}">
                  <a14:compatExt spid="_x0000_s2218"/>
                </a:ext>
                <a:ext uri="{FF2B5EF4-FFF2-40B4-BE49-F238E27FC236}">
                  <a16:creationId xmlns:a16="http://schemas.microsoft.com/office/drawing/2014/main" id="{00000000-0008-0000-0200-0000A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167640</xdr:colOff>
          <xdr:row>119</xdr:row>
          <xdr:rowOff>7620</xdr:rowOff>
        </xdr:from>
        <xdr:to>
          <xdr:col>4</xdr:col>
          <xdr:colOff>411480</xdr:colOff>
          <xdr:row>120</xdr:row>
          <xdr:rowOff>45720</xdr:rowOff>
        </xdr:to>
        <xdr:sp macro="" textlink="">
          <xdr:nvSpPr>
            <xdr:cNvPr id="2231" name="Check Box 183" hidden="1">
              <a:extLst>
                <a:ext uri="{63B3BB69-23CF-44E3-9099-C40C66FF867C}">
                  <a14:compatExt spid="_x0000_s2231"/>
                </a:ext>
                <a:ext uri="{FF2B5EF4-FFF2-40B4-BE49-F238E27FC236}">
                  <a16:creationId xmlns:a16="http://schemas.microsoft.com/office/drawing/2014/main" id="{00000000-0008-0000-0200-0000B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868680</xdr:colOff>
          <xdr:row>34</xdr:row>
          <xdr:rowOff>99060</xdr:rowOff>
        </xdr:from>
        <xdr:to>
          <xdr:col>5</xdr:col>
          <xdr:colOff>236220</xdr:colOff>
          <xdr:row>36</xdr:row>
          <xdr:rowOff>15240</xdr:rowOff>
        </xdr:to>
        <xdr:sp macro="" textlink="">
          <xdr:nvSpPr>
            <xdr:cNvPr id="2244" name="Check Box 196" hidden="1">
              <a:extLst>
                <a:ext uri="{63B3BB69-23CF-44E3-9099-C40C66FF867C}">
                  <a14:compatExt spid="_x0000_s2244"/>
                </a:ext>
                <a:ext uri="{FF2B5EF4-FFF2-40B4-BE49-F238E27FC236}">
                  <a16:creationId xmlns:a16="http://schemas.microsoft.com/office/drawing/2014/main" id="{00000000-0008-0000-0200-0000C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35</xdr:row>
          <xdr:rowOff>152400</xdr:rowOff>
        </xdr:from>
        <xdr:to>
          <xdr:col>5</xdr:col>
          <xdr:colOff>243840</xdr:colOff>
          <xdr:row>37</xdr:row>
          <xdr:rowOff>7620</xdr:rowOff>
        </xdr:to>
        <xdr:sp macro="" textlink="">
          <xdr:nvSpPr>
            <xdr:cNvPr id="2245" name="Check Box 197" hidden="1">
              <a:extLst>
                <a:ext uri="{63B3BB69-23CF-44E3-9099-C40C66FF867C}">
                  <a14:compatExt spid="_x0000_s2245"/>
                </a:ext>
                <a:ext uri="{FF2B5EF4-FFF2-40B4-BE49-F238E27FC236}">
                  <a16:creationId xmlns:a16="http://schemas.microsoft.com/office/drawing/2014/main" id="{00000000-0008-0000-0200-0000C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36</xdr:row>
          <xdr:rowOff>167640</xdr:rowOff>
        </xdr:from>
        <xdr:to>
          <xdr:col>5</xdr:col>
          <xdr:colOff>243840</xdr:colOff>
          <xdr:row>38</xdr:row>
          <xdr:rowOff>22860</xdr:rowOff>
        </xdr:to>
        <xdr:sp macro="" textlink="">
          <xdr:nvSpPr>
            <xdr:cNvPr id="2246" name="Check Box 198" hidden="1">
              <a:extLst>
                <a:ext uri="{63B3BB69-23CF-44E3-9099-C40C66FF867C}">
                  <a14:compatExt spid="_x0000_s2246"/>
                </a:ext>
                <a:ext uri="{FF2B5EF4-FFF2-40B4-BE49-F238E27FC236}">
                  <a16:creationId xmlns:a16="http://schemas.microsoft.com/office/drawing/2014/main" id="{00000000-0008-0000-0200-0000C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37</xdr:row>
          <xdr:rowOff>160020</xdr:rowOff>
        </xdr:from>
        <xdr:to>
          <xdr:col>5</xdr:col>
          <xdr:colOff>243840</xdr:colOff>
          <xdr:row>39</xdr:row>
          <xdr:rowOff>15240</xdr:rowOff>
        </xdr:to>
        <xdr:sp macro="" textlink="">
          <xdr:nvSpPr>
            <xdr:cNvPr id="2247" name="Check Box 199" hidden="1">
              <a:extLst>
                <a:ext uri="{63B3BB69-23CF-44E3-9099-C40C66FF867C}">
                  <a14:compatExt spid="_x0000_s2247"/>
                </a:ext>
                <a:ext uri="{FF2B5EF4-FFF2-40B4-BE49-F238E27FC236}">
                  <a16:creationId xmlns:a16="http://schemas.microsoft.com/office/drawing/2014/main" id="{00000000-0008-0000-0200-0000C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38</xdr:row>
          <xdr:rowOff>160020</xdr:rowOff>
        </xdr:from>
        <xdr:to>
          <xdr:col>5</xdr:col>
          <xdr:colOff>243840</xdr:colOff>
          <xdr:row>40</xdr:row>
          <xdr:rowOff>15240</xdr:rowOff>
        </xdr:to>
        <xdr:sp macro="" textlink="">
          <xdr:nvSpPr>
            <xdr:cNvPr id="2248" name="Check Box 200" hidden="1">
              <a:extLst>
                <a:ext uri="{63B3BB69-23CF-44E3-9099-C40C66FF867C}">
                  <a14:compatExt spid="_x0000_s2248"/>
                </a:ext>
                <a:ext uri="{FF2B5EF4-FFF2-40B4-BE49-F238E27FC236}">
                  <a16:creationId xmlns:a16="http://schemas.microsoft.com/office/drawing/2014/main" id="{00000000-0008-0000-0200-0000C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39</xdr:row>
          <xdr:rowOff>152400</xdr:rowOff>
        </xdr:from>
        <xdr:to>
          <xdr:col>5</xdr:col>
          <xdr:colOff>243840</xdr:colOff>
          <xdr:row>41</xdr:row>
          <xdr:rowOff>7620</xdr:rowOff>
        </xdr:to>
        <xdr:sp macro="" textlink="">
          <xdr:nvSpPr>
            <xdr:cNvPr id="2249" name="Check Box 201" hidden="1">
              <a:extLst>
                <a:ext uri="{63B3BB69-23CF-44E3-9099-C40C66FF867C}">
                  <a14:compatExt spid="_x0000_s2249"/>
                </a:ext>
                <a:ext uri="{FF2B5EF4-FFF2-40B4-BE49-F238E27FC236}">
                  <a16:creationId xmlns:a16="http://schemas.microsoft.com/office/drawing/2014/main" id="{00000000-0008-0000-0200-0000C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40</xdr:row>
          <xdr:rowOff>152400</xdr:rowOff>
        </xdr:from>
        <xdr:to>
          <xdr:col>5</xdr:col>
          <xdr:colOff>243840</xdr:colOff>
          <xdr:row>42</xdr:row>
          <xdr:rowOff>7620</xdr:rowOff>
        </xdr:to>
        <xdr:sp macro="" textlink="">
          <xdr:nvSpPr>
            <xdr:cNvPr id="2250" name="Check Box 202" hidden="1">
              <a:extLst>
                <a:ext uri="{63B3BB69-23CF-44E3-9099-C40C66FF867C}">
                  <a14:compatExt spid="_x0000_s2250"/>
                </a:ext>
                <a:ext uri="{FF2B5EF4-FFF2-40B4-BE49-F238E27FC236}">
                  <a16:creationId xmlns:a16="http://schemas.microsoft.com/office/drawing/2014/main" id="{00000000-0008-0000-0200-0000C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41</xdr:row>
          <xdr:rowOff>160020</xdr:rowOff>
        </xdr:from>
        <xdr:to>
          <xdr:col>5</xdr:col>
          <xdr:colOff>251460</xdr:colOff>
          <xdr:row>43</xdr:row>
          <xdr:rowOff>15240</xdr:rowOff>
        </xdr:to>
        <xdr:sp macro="" textlink="">
          <xdr:nvSpPr>
            <xdr:cNvPr id="2251" name="Check Box 203" hidden="1">
              <a:extLst>
                <a:ext uri="{63B3BB69-23CF-44E3-9099-C40C66FF867C}">
                  <a14:compatExt spid="_x0000_s2251"/>
                </a:ext>
                <a:ext uri="{FF2B5EF4-FFF2-40B4-BE49-F238E27FC236}">
                  <a16:creationId xmlns:a16="http://schemas.microsoft.com/office/drawing/2014/main" id="{00000000-0008-0000-0200-0000C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3" Type="http://schemas.openxmlformats.org/officeDocument/2006/relationships/vmlDrawing" Target="../drawings/vmlDrawing2.vml"/><Relationship Id="rId21" Type="http://schemas.openxmlformats.org/officeDocument/2006/relationships/ctrlProp" Target="../ctrlProps/ctrlProp19.xml"/><Relationship Id="rId34" Type="http://schemas.openxmlformats.org/officeDocument/2006/relationships/ctrlProp" Target="../ctrlProps/ctrlProp3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2" Type="http://schemas.openxmlformats.org/officeDocument/2006/relationships/drawing" Target="../drawings/drawing2.x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1" Type="http://schemas.openxmlformats.org/officeDocument/2006/relationships/printerSettings" Target="../printerSettings/printerSettings2.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18" Type="http://schemas.openxmlformats.org/officeDocument/2006/relationships/ctrlProp" Target="../ctrlProps/ctrlProp53.xml"/><Relationship Id="rId26" Type="http://schemas.openxmlformats.org/officeDocument/2006/relationships/ctrlProp" Target="../ctrlProps/ctrlProp61.xml"/><Relationship Id="rId39" Type="http://schemas.openxmlformats.org/officeDocument/2006/relationships/ctrlProp" Target="../ctrlProps/ctrlProp74.xml"/><Relationship Id="rId3" Type="http://schemas.openxmlformats.org/officeDocument/2006/relationships/vmlDrawing" Target="../drawings/vmlDrawing3.vml"/><Relationship Id="rId21" Type="http://schemas.openxmlformats.org/officeDocument/2006/relationships/ctrlProp" Target="../ctrlProps/ctrlProp56.xml"/><Relationship Id="rId34" Type="http://schemas.openxmlformats.org/officeDocument/2006/relationships/ctrlProp" Target="../ctrlProps/ctrlProp69.xml"/><Relationship Id="rId7" Type="http://schemas.openxmlformats.org/officeDocument/2006/relationships/ctrlProp" Target="../ctrlProps/ctrlProp42.xml"/><Relationship Id="rId12" Type="http://schemas.openxmlformats.org/officeDocument/2006/relationships/ctrlProp" Target="../ctrlProps/ctrlProp47.xml"/><Relationship Id="rId17" Type="http://schemas.openxmlformats.org/officeDocument/2006/relationships/ctrlProp" Target="../ctrlProps/ctrlProp52.xml"/><Relationship Id="rId25" Type="http://schemas.openxmlformats.org/officeDocument/2006/relationships/ctrlProp" Target="../ctrlProps/ctrlProp60.xml"/><Relationship Id="rId33" Type="http://schemas.openxmlformats.org/officeDocument/2006/relationships/ctrlProp" Target="../ctrlProps/ctrlProp68.xml"/><Relationship Id="rId38" Type="http://schemas.openxmlformats.org/officeDocument/2006/relationships/ctrlProp" Target="../ctrlProps/ctrlProp73.xml"/><Relationship Id="rId2" Type="http://schemas.openxmlformats.org/officeDocument/2006/relationships/drawing" Target="../drawings/drawing3.xml"/><Relationship Id="rId16" Type="http://schemas.openxmlformats.org/officeDocument/2006/relationships/ctrlProp" Target="../ctrlProps/ctrlProp51.xml"/><Relationship Id="rId20" Type="http://schemas.openxmlformats.org/officeDocument/2006/relationships/ctrlProp" Target="../ctrlProps/ctrlProp55.xml"/><Relationship Id="rId29" Type="http://schemas.openxmlformats.org/officeDocument/2006/relationships/ctrlProp" Target="../ctrlProps/ctrlProp64.xml"/><Relationship Id="rId1" Type="http://schemas.openxmlformats.org/officeDocument/2006/relationships/printerSettings" Target="../printerSettings/printerSettings3.bin"/><Relationship Id="rId6" Type="http://schemas.openxmlformats.org/officeDocument/2006/relationships/ctrlProp" Target="../ctrlProps/ctrlProp41.xml"/><Relationship Id="rId11" Type="http://schemas.openxmlformats.org/officeDocument/2006/relationships/ctrlProp" Target="../ctrlProps/ctrlProp46.xml"/><Relationship Id="rId24" Type="http://schemas.openxmlformats.org/officeDocument/2006/relationships/ctrlProp" Target="../ctrlProps/ctrlProp59.xml"/><Relationship Id="rId32" Type="http://schemas.openxmlformats.org/officeDocument/2006/relationships/ctrlProp" Target="../ctrlProps/ctrlProp67.xml"/><Relationship Id="rId37" Type="http://schemas.openxmlformats.org/officeDocument/2006/relationships/ctrlProp" Target="../ctrlProps/ctrlProp72.xml"/><Relationship Id="rId40" Type="http://schemas.openxmlformats.org/officeDocument/2006/relationships/ctrlProp" Target="../ctrlProps/ctrlProp75.xml"/><Relationship Id="rId5" Type="http://schemas.openxmlformats.org/officeDocument/2006/relationships/ctrlProp" Target="../ctrlProps/ctrlProp40.xml"/><Relationship Id="rId15" Type="http://schemas.openxmlformats.org/officeDocument/2006/relationships/ctrlProp" Target="../ctrlProps/ctrlProp50.xml"/><Relationship Id="rId23" Type="http://schemas.openxmlformats.org/officeDocument/2006/relationships/ctrlProp" Target="../ctrlProps/ctrlProp58.xml"/><Relationship Id="rId28" Type="http://schemas.openxmlformats.org/officeDocument/2006/relationships/ctrlProp" Target="../ctrlProps/ctrlProp63.xml"/><Relationship Id="rId36" Type="http://schemas.openxmlformats.org/officeDocument/2006/relationships/ctrlProp" Target="../ctrlProps/ctrlProp71.xml"/><Relationship Id="rId10" Type="http://schemas.openxmlformats.org/officeDocument/2006/relationships/ctrlProp" Target="../ctrlProps/ctrlProp45.xml"/><Relationship Id="rId19" Type="http://schemas.openxmlformats.org/officeDocument/2006/relationships/ctrlProp" Target="../ctrlProps/ctrlProp54.xml"/><Relationship Id="rId31" Type="http://schemas.openxmlformats.org/officeDocument/2006/relationships/ctrlProp" Target="../ctrlProps/ctrlProp66.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trlProp" Target="../ctrlProps/ctrlProp49.xml"/><Relationship Id="rId22" Type="http://schemas.openxmlformats.org/officeDocument/2006/relationships/ctrlProp" Target="../ctrlProps/ctrlProp57.xml"/><Relationship Id="rId27" Type="http://schemas.openxmlformats.org/officeDocument/2006/relationships/ctrlProp" Target="../ctrlProps/ctrlProp62.xml"/><Relationship Id="rId30" Type="http://schemas.openxmlformats.org/officeDocument/2006/relationships/ctrlProp" Target="../ctrlProps/ctrlProp65.xml"/><Relationship Id="rId35" Type="http://schemas.openxmlformats.org/officeDocument/2006/relationships/ctrlProp" Target="../ctrlProps/ctrlProp7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2BA09-FBD5-4F54-ABB7-2CA68A96D32F}">
  <sheetPr codeName="Sheet1"/>
  <dimension ref="A1:F63"/>
  <sheetViews>
    <sheetView showGridLines="0" topLeftCell="A46" workbookViewId="0">
      <selection activeCell="C65" sqref="C65"/>
    </sheetView>
  </sheetViews>
  <sheetFormatPr defaultRowHeight="14.4" x14ac:dyDescent="0.3"/>
  <cols>
    <col min="1" max="1" width="3.77734375" style="42" customWidth="1"/>
    <col min="2" max="2" width="18.5546875" style="43" customWidth="1"/>
    <col min="3" max="3" width="18.21875" style="43" customWidth="1"/>
    <col min="4" max="4" width="16.6640625" style="43" customWidth="1"/>
    <col min="5" max="5" width="15.88671875" style="42" customWidth="1"/>
    <col min="6" max="6" width="2.77734375" style="42" customWidth="1"/>
    <col min="7" max="16384" width="8.88671875" style="42"/>
  </cols>
  <sheetData>
    <row r="1" spans="1:6" ht="33" customHeight="1" x14ac:dyDescent="0.3">
      <c r="A1" s="151" t="s">
        <v>0</v>
      </c>
      <c r="B1" s="151"/>
      <c r="C1" s="151"/>
      <c r="D1" s="151"/>
      <c r="E1" s="152"/>
      <c r="F1" s="41"/>
    </row>
    <row r="2" spans="1:6" ht="33" customHeight="1" x14ac:dyDescent="0.3">
      <c r="A2" s="151"/>
      <c r="B2" s="151"/>
      <c r="C2" s="151"/>
      <c r="D2" s="151"/>
      <c r="E2" s="152"/>
      <c r="F2" s="41"/>
    </row>
    <row r="3" spans="1:6" ht="10.050000000000001" customHeight="1" thickBot="1" x14ac:dyDescent="0.35">
      <c r="A3" s="44"/>
      <c r="B3" s="41"/>
      <c r="C3" s="41"/>
      <c r="D3" s="41"/>
      <c r="E3" s="41"/>
      <c r="F3" s="41"/>
    </row>
    <row r="4" spans="1:6" ht="18" customHeight="1" x14ac:dyDescent="0.35">
      <c r="A4" s="148" t="s">
        <v>7</v>
      </c>
      <c r="B4" s="149"/>
      <c r="C4" s="149"/>
      <c r="D4" s="149"/>
      <c r="E4" s="149"/>
      <c r="F4" s="132"/>
    </row>
    <row r="5" spans="1:6" x14ac:dyDescent="0.3">
      <c r="A5" s="127"/>
      <c r="B5" s="45" t="s">
        <v>6</v>
      </c>
      <c r="C5" s="145" t="s">
        <v>200</v>
      </c>
      <c r="D5" s="145"/>
      <c r="E5" s="145"/>
      <c r="F5" s="126"/>
    </row>
    <row r="6" spans="1:6" x14ac:dyDescent="0.3">
      <c r="A6" s="127"/>
      <c r="B6" s="45" t="s">
        <v>12</v>
      </c>
      <c r="C6" s="145"/>
      <c r="D6" s="145"/>
      <c r="E6" s="145"/>
      <c r="F6" s="126"/>
    </row>
    <row r="7" spans="1:6" x14ac:dyDescent="0.3">
      <c r="A7" s="127"/>
      <c r="B7" s="45" t="s">
        <v>13</v>
      </c>
      <c r="C7" s="145"/>
      <c r="D7" s="145"/>
      <c r="E7" s="145"/>
      <c r="F7" s="126"/>
    </row>
    <row r="8" spans="1:6" x14ac:dyDescent="0.3">
      <c r="A8" s="127"/>
      <c r="B8" s="45" t="s">
        <v>14</v>
      </c>
      <c r="C8" s="145" t="s">
        <v>40</v>
      </c>
      <c r="D8" s="145"/>
      <c r="E8" s="145"/>
      <c r="F8" s="126"/>
    </row>
    <row r="9" spans="1:6" x14ac:dyDescent="0.3">
      <c r="A9" s="127"/>
      <c r="B9" s="45" t="s">
        <v>15</v>
      </c>
      <c r="C9" s="145" t="s">
        <v>41</v>
      </c>
      <c r="D9" s="145"/>
      <c r="E9" s="145"/>
      <c r="F9" s="126"/>
    </row>
    <row r="10" spans="1:6" x14ac:dyDescent="0.3">
      <c r="A10" s="127"/>
      <c r="B10" s="45" t="s">
        <v>199</v>
      </c>
      <c r="C10" s="145" t="s">
        <v>279</v>
      </c>
      <c r="D10" s="145"/>
      <c r="E10" s="145"/>
      <c r="F10" s="126"/>
    </row>
    <row r="11" spans="1:6" ht="15" thickBot="1" x14ac:dyDescent="0.35">
      <c r="A11" s="128"/>
      <c r="B11" s="129"/>
      <c r="C11" s="130"/>
      <c r="D11" s="130"/>
      <c r="E11" s="130"/>
      <c r="F11" s="131"/>
    </row>
    <row r="12" spans="1:6" ht="10.050000000000001" customHeight="1" thickBot="1" x14ac:dyDescent="0.35">
      <c r="A12" s="44"/>
      <c r="B12" s="41"/>
      <c r="C12" s="41"/>
      <c r="D12" s="41"/>
      <c r="E12" s="44"/>
      <c r="F12" s="44"/>
    </row>
    <row r="13" spans="1:6" ht="18" customHeight="1" x14ac:dyDescent="0.35">
      <c r="A13" s="148" t="s">
        <v>8</v>
      </c>
      <c r="B13" s="149"/>
      <c r="C13" s="149"/>
      <c r="D13" s="149"/>
      <c r="E13" s="149"/>
      <c r="F13" s="132"/>
    </row>
    <row r="14" spans="1:6" x14ac:dyDescent="0.3">
      <c r="A14" s="127"/>
      <c r="B14" s="45" t="s">
        <v>9</v>
      </c>
      <c r="C14" s="145" t="s">
        <v>280</v>
      </c>
      <c r="D14" s="145"/>
      <c r="E14" s="145"/>
      <c r="F14" s="126"/>
    </row>
    <row r="15" spans="1:6" x14ac:dyDescent="0.3">
      <c r="A15" s="127"/>
      <c r="B15" s="45" t="s">
        <v>1</v>
      </c>
      <c r="C15" s="145" t="s">
        <v>281</v>
      </c>
      <c r="D15" s="145"/>
      <c r="E15" s="145"/>
      <c r="F15" s="126"/>
    </row>
    <row r="16" spans="1:6" x14ac:dyDescent="0.3">
      <c r="A16" s="127"/>
      <c r="B16" s="45" t="s">
        <v>10</v>
      </c>
      <c r="C16" s="145" t="s">
        <v>282</v>
      </c>
      <c r="D16" s="145"/>
      <c r="E16" s="145"/>
      <c r="F16" s="126"/>
    </row>
    <row r="17" spans="1:6" x14ac:dyDescent="0.3">
      <c r="A17" s="127"/>
      <c r="B17" s="45" t="s">
        <v>2</v>
      </c>
      <c r="C17" s="145" t="s">
        <v>283</v>
      </c>
      <c r="D17" s="145"/>
      <c r="E17" s="145"/>
      <c r="F17" s="126"/>
    </row>
    <row r="18" spans="1:6" ht="15" thickBot="1" x14ac:dyDescent="0.35">
      <c r="A18" s="128"/>
      <c r="B18" s="133"/>
      <c r="C18" s="133"/>
      <c r="D18" s="133"/>
      <c r="E18" s="134"/>
      <c r="F18" s="131"/>
    </row>
    <row r="19" spans="1:6" ht="10.050000000000001" customHeight="1" thickBot="1" x14ac:dyDescent="0.35">
      <c r="A19" s="44"/>
      <c r="B19" s="41"/>
      <c r="C19" s="41"/>
      <c r="D19" s="41"/>
      <c r="E19" s="44"/>
      <c r="F19" s="44"/>
    </row>
    <row r="20" spans="1:6" ht="18" customHeight="1" x14ac:dyDescent="0.35">
      <c r="A20" s="148" t="s">
        <v>11</v>
      </c>
      <c r="B20" s="149"/>
      <c r="C20" s="149"/>
      <c r="D20" s="149"/>
      <c r="E20" s="149"/>
      <c r="F20" s="132"/>
    </row>
    <row r="21" spans="1:6" x14ac:dyDescent="0.3">
      <c r="A21" s="127"/>
      <c r="B21" s="45" t="s">
        <v>3</v>
      </c>
      <c r="C21" s="150">
        <v>43473</v>
      </c>
      <c r="D21" s="150"/>
      <c r="E21" s="150"/>
      <c r="F21" s="126"/>
    </row>
    <row r="22" spans="1:6" x14ac:dyDescent="0.3">
      <c r="A22" s="127"/>
      <c r="B22" s="45" t="s">
        <v>4</v>
      </c>
      <c r="C22" s="150">
        <v>43475</v>
      </c>
      <c r="D22" s="150"/>
      <c r="E22" s="150"/>
      <c r="F22" s="126"/>
    </row>
    <row r="23" spans="1:6" x14ac:dyDescent="0.3">
      <c r="A23" s="127"/>
      <c r="B23" s="45" t="s">
        <v>5</v>
      </c>
      <c r="C23" s="150">
        <v>43479</v>
      </c>
      <c r="D23" s="150"/>
      <c r="E23" s="150"/>
      <c r="F23" s="126"/>
    </row>
    <row r="24" spans="1:6" ht="28.8" x14ac:dyDescent="0.3">
      <c r="A24" s="127"/>
      <c r="B24" s="45" t="s">
        <v>16</v>
      </c>
      <c r="C24" s="145" t="s">
        <v>284</v>
      </c>
      <c r="D24" s="145"/>
      <c r="E24" s="145"/>
      <c r="F24" s="126"/>
    </row>
    <row r="25" spans="1:6" ht="15" thickBot="1" x14ac:dyDescent="0.35">
      <c r="A25" s="128"/>
      <c r="B25" s="133"/>
      <c r="C25" s="133"/>
      <c r="D25" s="133"/>
      <c r="E25" s="134"/>
      <c r="F25" s="131"/>
    </row>
    <row r="26" spans="1:6" ht="10.050000000000001" customHeight="1" thickBot="1" x14ac:dyDescent="0.35">
      <c r="A26" s="44"/>
      <c r="B26" s="41"/>
      <c r="C26" s="41"/>
      <c r="D26" s="41"/>
      <c r="E26" s="44"/>
      <c r="F26" s="44"/>
    </row>
    <row r="27" spans="1:6" ht="18" customHeight="1" x14ac:dyDescent="0.35">
      <c r="A27" s="148" t="s">
        <v>17</v>
      </c>
      <c r="B27" s="149"/>
      <c r="C27" s="149"/>
      <c r="D27" s="149"/>
      <c r="E27" s="149"/>
      <c r="F27" s="132"/>
    </row>
    <row r="28" spans="1:6" ht="28.2" customHeight="1" x14ac:dyDescent="0.3">
      <c r="A28" s="127"/>
      <c r="B28" s="153" t="s">
        <v>18</v>
      </c>
      <c r="C28" s="153"/>
      <c r="D28" s="153"/>
      <c r="E28" s="153"/>
      <c r="F28" s="126"/>
    </row>
    <row r="29" spans="1:6" x14ac:dyDescent="0.3">
      <c r="A29" s="127"/>
      <c r="B29" s="154" t="s">
        <v>285</v>
      </c>
      <c r="C29" s="154"/>
      <c r="D29" s="154"/>
      <c r="E29" s="154"/>
      <c r="F29" s="126"/>
    </row>
    <row r="30" spans="1:6" x14ac:dyDescent="0.3">
      <c r="A30" s="127"/>
      <c r="B30" s="154"/>
      <c r="C30" s="154"/>
      <c r="D30" s="154"/>
      <c r="E30" s="154"/>
      <c r="F30" s="126"/>
    </row>
    <row r="31" spans="1:6" x14ac:dyDescent="0.3">
      <c r="A31" s="127"/>
      <c r="B31" s="154"/>
      <c r="C31" s="154"/>
      <c r="D31" s="154"/>
      <c r="E31" s="154"/>
      <c r="F31" s="126"/>
    </row>
    <row r="32" spans="1:6" x14ac:dyDescent="0.3">
      <c r="A32" s="127"/>
      <c r="B32" s="154"/>
      <c r="C32" s="154"/>
      <c r="D32" s="154"/>
      <c r="E32" s="154"/>
      <c r="F32" s="126"/>
    </row>
    <row r="33" spans="1:6" x14ac:dyDescent="0.3">
      <c r="A33" s="127"/>
      <c r="B33" s="154"/>
      <c r="C33" s="154"/>
      <c r="D33" s="154"/>
      <c r="E33" s="154"/>
      <c r="F33" s="126"/>
    </row>
    <row r="34" spans="1:6" x14ac:dyDescent="0.3">
      <c r="A34" s="127"/>
      <c r="B34" s="154"/>
      <c r="C34" s="154"/>
      <c r="D34" s="154"/>
      <c r="E34" s="154"/>
      <c r="F34" s="126"/>
    </row>
    <row r="35" spans="1:6" x14ac:dyDescent="0.3">
      <c r="A35" s="127"/>
      <c r="B35" s="154"/>
      <c r="C35" s="154"/>
      <c r="D35" s="154"/>
      <c r="E35" s="154"/>
      <c r="F35" s="126"/>
    </row>
    <row r="36" spans="1:6" x14ac:dyDescent="0.3">
      <c r="A36" s="127"/>
      <c r="B36" s="154"/>
      <c r="C36" s="154"/>
      <c r="D36" s="154"/>
      <c r="E36" s="154"/>
      <c r="F36" s="126"/>
    </row>
    <row r="37" spans="1:6" x14ac:dyDescent="0.3">
      <c r="A37" s="127"/>
      <c r="B37" s="154"/>
      <c r="C37" s="154"/>
      <c r="D37" s="154"/>
      <c r="E37" s="154"/>
      <c r="F37" s="126"/>
    </row>
    <row r="38" spans="1:6" x14ac:dyDescent="0.3">
      <c r="A38" s="127"/>
      <c r="B38" s="154"/>
      <c r="C38" s="154"/>
      <c r="D38" s="154"/>
      <c r="E38" s="154"/>
      <c r="F38" s="126"/>
    </row>
    <row r="39" spans="1:6" x14ac:dyDescent="0.3">
      <c r="A39" s="127"/>
      <c r="B39" s="154"/>
      <c r="C39" s="154"/>
      <c r="D39" s="154"/>
      <c r="E39" s="154"/>
      <c r="F39" s="126"/>
    </row>
    <row r="40" spans="1:6" x14ac:dyDescent="0.3">
      <c r="A40" s="127"/>
      <c r="B40" s="154"/>
      <c r="C40" s="154"/>
      <c r="D40" s="154"/>
      <c r="E40" s="154"/>
      <c r="F40" s="126"/>
    </row>
    <row r="41" spans="1:6" ht="13.8" customHeight="1" thickBot="1" x14ac:dyDescent="0.35">
      <c r="A41" s="128"/>
      <c r="B41" s="133"/>
      <c r="C41" s="133"/>
      <c r="D41" s="133"/>
      <c r="E41" s="134"/>
      <c r="F41" s="131"/>
    </row>
    <row r="42" spans="1:6" ht="10.050000000000001" customHeight="1" thickBot="1" x14ac:dyDescent="0.35">
      <c r="A42" s="127"/>
      <c r="B42" s="41"/>
      <c r="C42" s="41"/>
      <c r="D42" s="41"/>
      <c r="E42" s="44"/>
      <c r="F42" s="44"/>
    </row>
    <row r="43" spans="1:6" ht="18" customHeight="1" x14ac:dyDescent="0.35">
      <c r="A43" s="148" t="s">
        <v>17</v>
      </c>
      <c r="B43" s="149"/>
      <c r="C43" s="149"/>
      <c r="D43" s="149"/>
      <c r="E43" s="149"/>
      <c r="F43" s="132"/>
    </row>
    <row r="44" spans="1:6" ht="59.4" customHeight="1" x14ac:dyDescent="0.3">
      <c r="A44" s="127"/>
      <c r="B44" s="146" t="s">
        <v>278</v>
      </c>
      <c r="C44" s="146"/>
      <c r="D44" s="135" t="s">
        <v>50</v>
      </c>
      <c r="E44" s="135" t="s">
        <v>51</v>
      </c>
      <c r="F44" s="126"/>
    </row>
    <row r="45" spans="1:6" x14ac:dyDescent="0.3">
      <c r="A45" s="138">
        <v>1</v>
      </c>
      <c r="B45" s="147" t="s">
        <v>52</v>
      </c>
      <c r="C45" s="147"/>
      <c r="D45" s="25">
        <v>4</v>
      </c>
      <c r="E45" s="136">
        <f>$D45 + CEILING($D45 * 30%, 1)</f>
        <v>6</v>
      </c>
      <c r="F45" s="126"/>
    </row>
    <row r="46" spans="1:6" x14ac:dyDescent="0.3">
      <c r="A46" s="138">
        <v>2</v>
      </c>
      <c r="B46" s="147"/>
      <c r="C46" s="147"/>
      <c r="D46" s="25"/>
      <c r="E46" s="136">
        <f t="shared" ref="E46:E54" si="0">$D46 + CEILING($D46 * 30%, 1)</f>
        <v>0</v>
      </c>
      <c r="F46" s="126"/>
    </row>
    <row r="47" spans="1:6" x14ac:dyDescent="0.3">
      <c r="A47" s="138">
        <v>3</v>
      </c>
      <c r="B47" s="147"/>
      <c r="C47" s="147"/>
      <c r="D47" s="25"/>
      <c r="E47" s="136">
        <f t="shared" si="0"/>
        <v>0</v>
      </c>
      <c r="F47" s="126"/>
    </row>
    <row r="48" spans="1:6" x14ac:dyDescent="0.3">
      <c r="A48" s="138">
        <v>4</v>
      </c>
      <c r="B48" s="147"/>
      <c r="C48" s="147"/>
      <c r="D48" s="25"/>
      <c r="E48" s="136">
        <f t="shared" si="0"/>
        <v>0</v>
      </c>
      <c r="F48" s="126"/>
    </row>
    <row r="49" spans="1:6" x14ac:dyDescent="0.3">
      <c r="A49" s="138">
        <v>5</v>
      </c>
      <c r="B49" s="147"/>
      <c r="C49" s="147"/>
      <c r="D49" s="25"/>
      <c r="E49" s="136">
        <f t="shared" si="0"/>
        <v>0</v>
      </c>
      <c r="F49" s="126"/>
    </row>
    <row r="50" spans="1:6" x14ac:dyDescent="0.3">
      <c r="A50" s="138">
        <v>6</v>
      </c>
      <c r="B50" s="147"/>
      <c r="C50" s="147"/>
      <c r="D50" s="25"/>
      <c r="E50" s="136">
        <f t="shared" si="0"/>
        <v>0</v>
      </c>
      <c r="F50" s="126"/>
    </row>
    <row r="51" spans="1:6" x14ac:dyDescent="0.3">
      <c r="A51" s="138">
        <v>7</v>
      </c>
      <c r="B51" s="147"/>
      <c r="C51" s="147"/>
      <c r="D51" s="25"/>
      <c r="E51" s="136">
        <f t="shared" si="0"/>
        <v>0</v>
      </c>
      <c r="F51" s="126"/>
    </row>
    <row r="52" spans="1:6" x14ac:dyDescent="0.3">
      <c r="A52" s="138">
        <v>8</v>
      </c>
      <c r="B52" s="147"/>
      <c r="C52" s="147"/>
      <c r="D52" s="25"/>
      <c r="E52" s="136">
        <f t="shared" si="0"/>
        <v>0</v>
      </c>
      <c r="F52" s="126"/>
    </row>
    <row r="53" spans="1:6" x14ac:dyDescent="0.3">
      <c r="A53" s="138">
        <v>9</v>
      </c>
      <c r="B53" s="147"/>
      <c r="C53" s="147"/>
      <c r="D53" s="25"/>
      <c r="E53" s="136">
        <f t="shared" si="0"/>
        <v>0</v>
      </c>
      <c r="F53" s="126"/>
    </row>
    <row r="54" spans="1:6" x14ac:dyDescent="0.3">
      <c r="A54" s="138">
        <v>10</v>
      </c>
      <c r="B54" s="147"/>
      <c r="C54" s="147"/>
      <c r="D54" s="25"/>
      <c r="E54" s="136">
        <f t="shared" si="0"/>
        <v>0</v>
      </c>
      <c r="F54" s="126"/>
    </row>
    <row r="55" spans="1:6" x14ac:dyDescent="0.3">
      <c r="A55" s="127"/>
      <c r="B55" s="168" t="s">
        <v>67</v>
      </c>
      <c r="C55" s="168"/>
      <c r="D55" s="137">
        <f>SUM(D45:D54)</f>
        <v>4</v>
      </c>
      <c r="E55" s="137">
        <f>SUM(E45:E54)</f>
        <v>6</v>
      </c>
      <c r="F55" s="126"/>
    </row>
    <row r="56" spans="1:6" ht="14.4" customHeight="1" thickBot="1" x14ac:dyDescent="0.35">
      <c r="A56" s="128"/>
      <c r="B56" s="133"/>
      <c r="C56" s="133"/>
      <c r="D56" s="133"/>
      <c r="E56" s="134"/>
      <c r="F56" s="131"/>
    </row>
    <row r="57" spans="1:6" ht="10.050000000000001" customHeight="1" thickBot="1" x14ac:dyDescent="0.35">
      <c r="A57" s="46"/>
      <c r="B57" s="47"/>
      <c r="C57" s="47"/>
      <c r="D57" s="47"/>
      <c r="E57" s="46"/>
      <c r="F57" s="46"/>
    </row>
    <row r="58" spans="1:6" ht="14.4" customHeight="1" x14ac:dyDescent="0.3">
      <c r="A58" s="159" t="s">
        <v>262</v>
      </c>
      <c r="B58" s="160"/>
      <c r="C58" s="160"/>
      <c r="D58" s="160"/>
      <c r="E58" s="160"/>
      <c r="F58" s="161"/>
    </row>
    <row r="59" spans="1:6" x14ac:dyDescent="0.3">
      <c r="A59" s="162"/>
      <c r="B59" s="163"/>
      <c r="C59" s="163"/>
      <c r="D59" s="163"/>
      <c r="E59" s="163"/>
      <c r="F59" s="164"/>
    </row>
    <row r="60" spans="1:6" x14ac:dyDescent="0.3">
      <c r="A60" s="162"/>
      <c r="B60" s="163"/>
      <c r="C60" s="163"/>
      <c r="D60" s="163"/>
      <c r="E60" s="163"/>
      <c r="F60" s="164"/>
    </row>
    <row r="61" spans="1:6" ht="15" thickBot="1" x14ac:dyDescent="0.35">
      <c r="A61" s="165"/>
      <c r="B61" s="166"/>
      <c r="C61" s="166"/>
      <c r="D61" s="166"/>
      <c r="E61" s="166"/>
      <c r="F61" s="167"/>
    </row>
    <row r="62" spans="1:6" ht="10.050000000000001" customHeight="1" thickBot="1" x14ac:dyDescent="0.35">
      <c r="A62" s="46"/>
      <c r="B62" s="47"/>
      <c r="C62" s="47"/>
      <c r="D62" s="47"/>
      <c r="E62" s="46"/>
      <c r="F62" s="46"/>
    </row>
    <row r="63" spans="1:6" ht="18.600000000000001" customHeight="1" thickBot="1" x14ac:dyDescent="0.35">
      <c r="A63" s="155" t="s">
        <v>19</v>
      </c>
      <c r="B63" s="156"/>
      <c r="C63" s="157" t="s">
        <v>52</v>
      </c>
      <c r="D63" s="158"/>
      <c r="E63" s="46"/>
      <c r="F63" s="46"/>
    </row>
  </sheetData>
  <mergeCells count="38">
    <mergeCell ref="B28:E28"/>
    <mergeCell ref="B29:E40"/>
    <mergeCell ref="A63:B63"/>
    <mergeCell ref="C63:D63"/>
    <mergeCell ref="A58:F61"/>
    <mergeCell ref="B48:C48"/>
    <mergeCell ref="B49:C49"/>
    <mergeCell ref="B52:C52"/>
    <mergeCell ref="B53:C53"/>
    <mergeCell ref="B55:C55"/>
    <mergeCell ref="B54:C54"/>
    <mergeCell ref="B51:C51"/>
    <mergeCell ref="B50:C50"/>
    <mergeCell ref="A43:E43"/>
    <mergeCell ref="C7:E7"/>
    <mergeCell ref="C8:E8"/>
    <mergeCell ref="C9:E9"/>
    <mergeCell ref="A1:D2"/>
    <mergeCell ref="E1:E2"/>
    <mergeCell ref="C5:E5"/>
    <mergeCell ref="C6:E6"/>
    <mergeCell ref="A4:E4"/>
    <mergeCell ref="C10:E10"/>
    <mergeCell ref="B44:C44"/>
    <mergeCell ref="B45:C45"/>
    <mergeCell ref="B46:C46"/>
    <mergeCell ref="B47:C47"/>
    <mergeCell ref="A13:E13"/>
    <mergeCell ref="A20:E20"/>
    <mergeCell ref="A27:E27"/>
    <mergeCell ref="C14:E14"/>
    <mergeCell ref="C15:E15"/>
    <mergeCell ref="C16:E16"/>
    <mergeCell ref="C17:E17"/>
    <mergeCell ref="C21:E21"/>
    <mergeCell ref="C22:E22"/>
    <mergeCell ref="C23:E23"/>
    <mergeCell ref="C24:E24"/>
  </mergeCells>
  <dataValidations count="1">
    <dataValidation type="list" allowBlank="1" showInputMessage="1" showErrorMessage="1" sqref="C5:E5" xr:uid="{261A0909-3824-4E4A-B442-D0BB399D1927}">
      <formula1>projects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sheet">
                <anchor moveWithCells="1" sizeWithCells="1">
                  <from>
                    <xdr:col>4</xdr:col>
                    <xdr:colOff>99060</xdr:colOff>
                    <xdr:row>61</xdr:row>
                    <xdr:rowOff>68580</xdr:rowOff>
                  </from>
                  <to>
                    <xdr:col>6</xdr:col>
                    <xdr:colOff>0</xdr:colOff>
                    <xdr:row>63</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259CDCEF-381C-4F2A-8892-783A0DB1BEF7}">
          <x14:formula1>
            <xm:f>choices!$E$2:$E$3</xm:f>
          </x14:formula1>
          <xm:sqref>C8:E8</xm:sqref>
        </x14:dataValidation>
        <x14:dataValidation type="list" allowBlank="1" showInputMessage="1" showErrorMessage="1" xr:uid="{D5A490F7-67B3-419E-8135-96E7A0CF6DCB}">
          <x14:formula1>
            <xm:f>choices!$G$2:$G$8</xm:f>
          </x14:formula1>
          <xm:sqref>C9:E9</xm:sqref>
        </x14:dataValidation>
        <x14:dataValidation type="list" allowBlank="1" showInputMessage="1" showErrorMessage="1" xr:uid="{A7881C34-EB49-42A7-A330-C035150CF5DB}">
          <x14:formula1>
            <xm:f>choices!$I$2:$I$15</xm:f>
          </x14:formula1>
          <xm:sqref>B45:B54 C52:C53 C45:C49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922F8C-4F5F-4DFF-B00E-2B7974AF6269}">
  <sheetPr codeName="Sheet6"/>
  <dimension ref="A1:L148"/>
  <sheetViews>
    <sheetView showGridLines="0" tabSelected="1" topLeftCell="A5" workbookViewId="0">
      <selection activeCell="M14" sqref="M14"/>
    </sheetView>
  </sheetViews>
  <sheetFormatPr defaultRowHeight="14.4" x14ac:dyDescent="0.3"/>
  <cols>
    <col min="1" max="1" width="3.109375" style="42" customWidth="1"/>
    <col min="2" max="2" width="12.77734375" style="43" customWidth="1"/>
    <col min="3" max="3" width="20.77734375" style="42" customWidth="1"/>
    <col min="4" max="4" width="5.44140625" style="42" bestFit="1" customWidth="1"/>
    <col min="5" max="5" width="12.77734375" style="42" customWidth="1"/>
    <col min="6" max="6" width="20.77734375" style="42" customWidth="1"/>
    <col min="7" max="7" width="5.44140625" style="42" bestFit="1" customWidth="1"/>
    <col min="8" max="8" width="12.77734375" style="42" customWidth="1"/>
    <col min="9" max="9" width="20.77734375" style="42" customWidth="1"/>
    <col min="10" max="10" width="2.6640625" style="42" customWidth="1"/>
    <col min="11" max="12" width="0" style="110" hidden="1" customWidth="1"/>
    <col min="13" max="16384" width="8.88671875" style="42"/>
  </cols>
  <sheetData>
    <row r="1" spans="1:12" ht="10.050000000000001" customHeight="1" thickBot="1" x14ac:dyDescent="0.35">
      <c r="A1" s="48"/>
      <c r="B1" s="49"/>
      <c r="C1" s="48"/>
      <c r="D1" s="48"/>
      <c r="E1" s="48"/>
      <c r="F1" s="48"/>
      <c r="G1" s="48"/>
      <c r="H1" s="48"/>
      <c r="I1" s="48"/>
      <c r="J1" s="50"/>
    </row>
    <row r="2" spans="1:12" ht="21" x14ac:dyDescent="0.4">
      <c r="A2" s="174" t="s">
        <v>274</v>
      </c>
      <c r="B2" s="175"/>
      <c r="C2" s="175"/>
      <c r="D2" s="175"/>
      <c r="E2" s="175"/>
      <c r="F2" s="175"/>
      <c r="G2" s="175"/>
      <c r="H2" s="175"/>
      <c r="I2" s="175"/>
      <c r="J2" s="51"/>
    </row>
    <row r="3" spans="1:12" ht="14.4" customHeight="1" thickBot="1" x14ac:dyDescent="0.45">
      <c r="A3" s="141"/>
      <c r="B3" s="142"/>
      <c r="C3" s="142"/>
      <c r="D3" s="117"/>
      <c r="E3" s="117"/>
      <c r="F3" s="117"/>
      <c r="G3" s="98"/>
      <c r="H3" s="221" t="s">
        <v>228</v>
      </c>
      <c r="I3" s="117"/>
      <c r="J3" s="52"/>
    </row>
    <row r="4" spans="1:12" ht="14.4" customHeight="1" thickBot="1" x14ac:dyDescent="0.35">
      <c r="A4" s="61"/>
      <c r="B4" s="223" t="s">
        <v>49</v>
      </c>
      <c r="C4" s="223"/>
      <c r="D4" s="224" t="s">
        <v>52</v>
      </c>
      <c r="E4" s="225"/>
      <c r="F4" s="226"/>
      <c r="G4" s="98"/>
      <c r="H4" s="221"/>
      <c r="I4" s="144">
        <v>43475</v>
      </c>
      <c r="J4" s="52"/>
    </row>
    <row r="5" spans="1:12" ht="14.4" customHeight="1" thickBot="1" x14ac:dyDescent="0.35">
      <c r="A5" s="107"/>
      <c r="B5" s="118"/>
      <c r="C5" s="118"/>
      <c r="D5" s="119"/>
      <c r="E5" s="119"/>
      <c r="F5" s="119"/>
      <c r="G5" s="120"/>
      <c r="H5" s="222"/>
      <c r="I5" s="121"/>
      <c r="J5" s="103"/>
    </row>
    <row r="6" spans="1:12" ht="10.050000000000001" customHeight="1" thickBot="1" x14ac:dyDescent="0.35">
      <c r="A6" s="48"/>
      <c r="B6" s="49"/>
      <c r="C6" s="48"/>
      <c r="D6" s="48"/>
      <c r="E6" s="48"/>
      <c r="F6" s="48"/>
      <c r="G6" s="122"/>
      <c r="H6" s="122"/>
      <c r="I6" s="48"/>
      <c r="J6" s="50"/>
    </row>
    <row r="7" spans="1:12" ht="21" x14ac:dyDescent="0.4">
      <c r="A7" s="174" t="s">
        <v>273</v>
      </c>
      <c r="B7" s="175"/>
      <c r="C7" s="175"/>
      <c r="D7" s="175"/>
      <c r="E7" s="175"/>
      <c r="F7" s="175"/>
      <c r="G7" s="175"/>
      <c r="H7" s="175"/>
      <c r="I7" s="175"/>
      <c r="J7" s="51"/>
    </row>
    <row r="8" spans="1:12" ht="10.050000000000001" customHeight="1" thickBot="1" x14ac:dyDescent="0.45">
      <c r="A8" s="141"/>
      <c r="B8" s="142"/>
      <c r="C8" s="142"/>
      <c r="D8" s="142"/>
      <c r="E8" s="142"/>
      <c r="F8" s="142"/>
      <c r="G8" s="142"/>
      <c r="H8" s="142"/>
      <c r="I8" s="142"/>
      <c r="J8" s="52"/>
      <c r="K8" s="113"/>
    </row>
    <row r="9" spans="1:12" s="83" customFormat="1" ht="49.2" customHeight="1" thickBot="1" x14ac:dyDescent="0.35">
      <c r="A9" s="53"/>
      <c r="B9" s="227" t="s">
        <v>275</v>
      </c>
      <c r="C9" s="228"/>
      <c r="D9" s="228"/>
      <c r="E9" s="228"/>
      <c r="F9" s="228"/>
      <c r="G9" s="228"/>
      <c r="H9" s="228"/>
      <c r="I9" s="229"/>
      <c r="J9" s="82"/>
      <c r="K9" s="114"/>
      <c r="L9" s="111"/>
    </row>
    <row r="10" spans="1:12" ht="10.050000000000001" customHeight="1" x14ac:dyDescent="0.4">
      <c r="A10" s="141"/>
      <c r="B10" s="142"/>
      <c r="C10" s="142"/>
      <c r="D10" s="142"/>
      <c r="E10" s="142"/>
      <c r="F10" s="142"/>
      <c r="G10" s="142"/>
      <c r="H10" s="142"/>
      <c r="I10" s="142"/>
      <c r="J10" s="52"/>
      <c r="K10" s="113"/>
    </row>
    <row r="11" spans="1:12" ht="21" x14ac:dyDescent="0.4">
      <c r="A11" s="209" t="s">
        <v>230</v>
      </c>
      <c r="B11" s="210"/>
      <c r="C11" s="210"/>
      <c r="D11" s="210"/>
      <c r="E11" s="210"/>
      <c r="F11" s="210"/>
      <c r="G11" s="210"/>
      <c r="H11" s="210"/>
      <c r="I11" s="210"/>
      <c r="J11" s="52"/>
      <c r="K11" s="113"/>
    </row>
    <row r="12" spans="1:12" ht="10.050000000000001" customHeight="1" thickBot="1" x14ac:dyDescent="0.45">
      <c r="A12" s="141"/>
      <c r="B12" s="142"/>
      <c r="C12" s="117"/>
      <c r="D12" s="142"/>
      <c r="E12" s="142"/>
      <c r="F12" s="142"/>
      <c r="G12" s="142"/>
      <c r="H12" s="142"/>
      <c r="I12" s="142"/>
      <c r="J12" s="52"/>
    </row>
    <row r="13" spans="1:12" ht="66" customHeight="1" thickBot="1" x14ac:dyDescent="0.45">
      <c r="A13" s="141"/>
      <c r="B13" s="217" t="s">
        <v>277</v>
      </c>
      <c r="C13" s="218"/>
      <c r="D13" s="218"/>
      <c r="E13" s="218"/>
      <c r="F13" s="218"/>
      <c r="G13" s="218"/>
      <c r="H13" s="218"/>
      <c r="I13" s="219"/>
      <c r="J13" s="52"/>
    </row>
    <row r="14" spans="1:12" x14ac:dyDescent="0.3">
      <c r="A14" s="53"/>
      <c r="B14" s="143" t="s">
        <v>68</v>
      </c>
      <c r="C14" s="54" t="s">
        <v>69</v>
      </c>
      <c r="D14" s="55"/>
      <c r="E14" s="143" t="s">
        <v>68</v>
      </c>
      <c r="F14" s="54" t="s">
        <v>69</v>
      </c>
      <c r="G14" s="55"/>
      <c r="H14" s="143" t="s">
        <v>68</v>
      </c>
      <c r="I14" s="54" t="s">
        <v>69</v>
      </c>
      <c r="J14" s="52"/>
    </row>
    <row r="15" spans="1:12" ht="10.050000000000001" customHeight="1" thickBot="1" x14ac:dyDescent="0.35">
      <c r="A15" s="53"/>
      <c r="B15" s="56"/>
      <c r="C15" s="57"/>
      <c r="D15" s="58"/>
      <c r="E15" s="56"/>
      <c r="F15" s="57"/>
      <c r="G15" s="58"/>
      <c r="H15" s="56"/>
      <c r="I15" s="57"/>
      <c r="J15" s="52"/>
    </row>
    <row r="16" spans="1:12" ht="15" thickBot="1" x14ac:dyDescent="0.35">
      <c r="A16" s="53"/>
      <c r="B16" s="30"/>
      <c r="C16" s="31"/>
      <c r="D16" s="55" t="s">
        <v>71</v>
      </c>
      <c r="E16" s="30"/>
      <c r="F16" s="31"/>
      <c r="G16" s="55" t="s">
        <v>71</v>
      </c>
      <c r="H16" s="30"/>
      <c r="I16" s="31"/>
      <c r="J16" s="52"/>
    </row>
    <row r="17" spans="1:10" ht="10.050000000000001" customHeight="1" x14ac:dyDescent="0.3">
      <c r="A17" s="53"/>
      <c r="B17" s="56"/>
      <c r="C17" s="27" t="e">
        <f>VLOOKUP(C16, choices!$M$2:$N$6, 2, 0)</f>
        <v>#N/A</v>
      </c>
      <c r="D17" s="55"/>
      <c r="E17" s="56"/>
      <c r="F17" s="27" t="e">
        <f>VLOOKUP(F16, choices!$M$2:$N$6, 2, 0)</f>
        <v>#N/A</v>
      </c>
      <c r="G17" s="55"/>
      <c r="H17" s="56"/>
      <c r="I17" s="27" t="e">
        <f>VLOOKUP(I16, choices!$M$2:$N$6, 2, 0)</f>
        <v>#N/A</v>
      </c>
      <c r="J17" s="52"/>
    </row>
    <row r="18" spans="1:10" x14ac:dyDescent="0.3">
      <c r="A18" s="53"/>
      <c r="B18" s="56"/>
      <c r="C18" s="57"/>
      <c r="D18" s="55"/>
      <c r="E18" s="220" t="s">
        <v>70</v>
      </c>
      <c r="F18" s="220"/>
      <c r="G18" s="55"/>
      <c r="H18" s="56"/>
      <c r="I18" s="57"/>
      <c r="J18" s="52"/>
    </row>
    <row r="19" spans="1:10" ht="10.050000000000001" customHeight="1" thickBot="1" x14ac:dyDescent="0.35">
      <c r="A19" s="53"/>
      <c r="B19" s="56"/>
      <c r="C19" s="57"/>
      <c r="D19" s="55"/>
      <c r="E19" s="56"/>
      <c r="F19" s="57"/>
      <c r="G19" s="55"/>
      <c r="H19" s="56"/>
      <c r="I19" s="57"/>
      <c r="J19" s="52"/>
    </row>
    <row r="20" spans="1:10" ht="15" thickBot="1" x14ac:dyDescent="0.35">
      <c r="A20" s="53"/>
      <c r="B20" s="30"/>
      <c r="C20" s="31"/>
      <c r="D20" s="55" t="s">
        <v>71</v>
      </c>
      <c r="E20" s="30"/>
      <c r="F20" s="31"/>
      <c r="G20" s="55" t="s">
        <v>71</v>
      </c>
      <c r="H20" s="30"/>
      <c r="I20" s="31"/>
      <c r="J20" s="52"/>
    </row>
    <row r="21" spans="1:10" ht="10.050000000000001" customHeight="1" x14ac:dyDescent="0.3">
      <c r="A21" s="53"/>
      <c r="B21" s="56"/>
      <c r="C21" s="27" t="e">
        <f>VLOOKUP(C20, choices!$M$2:$N$6, 2, 0)</f>
        <v>#N/A</v>
      </c>
      <c r="D21" s="55"/>
      <c r="E21" s="56"/>
      <c r="F21" s="27" t="e">
        <f>VLOOKUP(F20, choices!$M$2:$N$6, 2, 0)</f>
        <v>#N/A</v>
      </c>
      <c r="G21" s="55"/>
      <c r="H21" s="56"/>
      <c r="I21" s="27" t="e">
        <f>VLOOKUP(I20, choices!$M$2:$N$6, 2, 0)</f>
        <v>#N/A</v>
      </c>
      <c r="J21" s="52"/>
    </row>
    <row r="22" spans="1:10" x14ac:dyDescent="0.3">
      <c r="A22" s="53"/>
      <c r="B22" s="56"/>
      <c r="C22" s="57"/>
      <c r="D22" s="55"/>
      <c r="E22" s="220" t="s">
        <v>70</v>
      </c>
      <c r="F22" s="220"/>
      <c r="G22" s="55"/>
      <c r="H22" s="56"/>
      <c r="I22" s="57"/>
      <c r="J22" s="52"/>
    </row>
    <row r="23" spans="1:10" ht="10.050000000000001" customHeight="1" thickBot="1" x14ac:dyDescent="0.35">
      <c r="A23" s="53"/>
      <c r="B23" s="56"/>
      <c r="C23" s="57"/>
      <c r="D23" s="55"/>
      <c r="E23" s="56"/>
      <c r="F23" s="57"/>
      <c r="G23" s="55"/>
      <c r="H23" s="56"/>
      <c r="I23" s="57"/>
      <c r="J23" s="52"/>
    </row>
    <row r="24" spans="1:10" ht="15" thickBot="1" x14ac:dyDescent="0.35">
      <c r="A24" s="53"/>
      <c r="B24" s="30"/>
      <c r="C24" s="31"/>
      <c r="D24" s="55" t="s">
        <v>71</v>
      </c>
      <c r="E24" s="30"/>
      <c r="F24" s="31"/>
      <c r="G24" s="55" t="s">
        <v>71</v>
      </c>
      <c r="H24" s="30"/>
      <c r="I24" s="31"/>
      <c r="J24" s="52"/>
    </row>
    <row r="25" spans="1:10" ht="10.050000000000001" customHeight="1" x14ac:dyDescent="0.3">
      <c r="A25" s="53"/>
      <c r="B25" s="56"/>
      <c r="C25" s="27" t="e">
        <f>VLOOKUP(C24, choices!$M$2:$N$6, 2, 0)</f>
        <v>#N/A</v>
      </c>
      <c r="D25" s="55"/>
      <c r="E25" s="56"/>
      <c r="F25" s="27" t="e">
        <f>VLOOKUP(F24, choices!$M$2:$N$6, 2, 0)</f>
        <v>#N/A</v>
      </c>
      <c r="G25" s="55"/>
      <c r="H25" s="56"/>
      <c r="I25" s="27" t="e">
        <f>VLOOKUP(I24, choices!$M$2:$N$6, 2, 0)</f>
        <v>#N/A</v>
      </c>
      <c r="J25" s="52"/>
    </row>
    <row r="26" spans="1:10" x14ac:dyDescent="0.3">
      <c r="A26" s="53"/>
      <c r="B26" s="56"/>
      <c r="C26" s="57"/>
      <c r="D26" s="55"/>
      <c r="E26" s="220" t="s">
        <v>70</v>
      </c>
      <c r="F26" s="220"/>
      <c r="G26" s="55"/>
      <c r="H26" s="56"/>
      <c r="I26" s="57"/>
      <c r="J26" s="52"/>
    </row>
    <row r="27" spans="1:10" ht="10.050000000000001" customHeight="1" thickBot="1" x14ac:dyDescent="0.35">
      <c r="A27" s="53"/>
      <c r="B27" s="56"/>
      <c r="C27" s="57"/>
      <c r="D27" s="55"/>
      <c r="E27" s="56"/>
      <c r="F27" s="57"/>
      <c r="G27" s="55"/>
      <c r="H27" s="56"/>
      <c r="I27" s="57"/>
      <c r="J27" s="52"/>
    </row>
    <row r="28" spans="1:10" ht="15" thickBot="1" x14ac:dyDescent="0.35">
      <c r="A28" s="53"/>
      <c r="B28" s="30"/>
      <c r="C28" s="31"/>
      <c r="D28" s="55" t="s">
        <v>71</v>
      </c>
      <c r="E28" s="30"/>
      <c r="F28" s="31"/>
      <c r="G28" s="55" t="s">
        <v>71</v>
      </c>
      <c r="H28" s="30"/>
      <c r="I28" s="31"/>
      <c r="J28" s="52"/>
    </row>
    <row r="29" spans="1:10" ht="10.050000000000001" customHeight="1" x14ac:dyDescent="0.3">
      <c r="A29" s="53"/>
      <c r="B29" s="56"/>
      <c r="C29" s="27" t="e">
        <f>VLOOKUP(C28, choices!$M$2:$N$6, 2, 0)</f>
        <v>#N/A</v>
      </c>
      <c r="D29" s="55"/>
      <c r="E29" s="56"/>
      <c r="F29" s="27" t="e">
        <f>VLOOKUP(F28, choices!$M$2:$N$6, 2, 0)</f>
        <v>#N/A</v>
      </c>
      <c r="G29" s="55"/>
      <c r="H29" s="56"/>
      <c r="I29" s="27" t="e">
        <f>VLOOKUP(I28, choices!$M$2:$N$6, 2, 0)</f>
        <v>#N/A</v>
      </c>
      <c r="J29" s="52"/>
    </row>
    <row r="30" spans="1:10" x14ac:dyDescent="0.3">
      <c r="A30" s="53"/>
      <c r="B30" s="56"/>
      <c r="C30" s="57"/>
      <c r="D30" s="55"/>
      <c r="E30" s="220" t="s">
        <v>70</v>
      </c>
      <c r="F30" s="220"/>
      <c r="G30" s="55"/>
      <c r="H30" s="56"/>
      <c r="I30" s="57"/>
      <c r="J30" s="52"/>
    </row>
    <row r="31" spans="1:10" ht="10.050000000000001" customHeight="1" thickBot="1" x14ac:dyDescent="0.35">
      <c r="A31" s="53"/>
      <c r="B31" s="56"/>
      <c r="C31" s="57"/>
      <c r="D31" s="55"/>
      <c r="E31" s="56"/>
      <c r="F31" s="57"/>
      <c r="G31" s="55"/>
      <c r="H31" s="56"/>
      <c r="I31" s="57"/>
      <c r="J31" s="52"/>
    </row>
    <row r="32" spans="1:10" ht="15" thickBot="1" x14ac:dyDescent="0.35">
      <c r="A32" s="53"/>
      <c r="B32" s="30"/>
      <c r="C32" s="31"/>
      <c r="D32" s="55" t="s">
        <v>71</v>
      </c>
      <c r="E32" s="30"/>
      <c r="F32" s="31"/>
      <c r="G32" s="55" t="s">
        <v>71</v>
      </c>
      <c r="H32" s="30"/>
      <c r="I32" s="31"/>
      <c r="J32" s="52"/>
    </row>
    <row r="33" spans="1:12" ht="10.050000000000001" customHeight="1" x14ac:dyDescent="0.3">
      <c r="A33" s="53"/>
      <c r="B33" s="56"/>
      <c r="C33" s="27" t="e">
        <f>VLOOKUP(C32, choices!$M$2:$N$6, 2, 0)</f>
        <v>#N/A</v>
      </c>
      <c r="D33" s="58"/>
      <c r="E33" s="56"/>
      <c r="F33" s="27" t="e">
        <f>VLOOKUP(F32, choices!$M$2:$N$6, 2, 0)</f>
        <v>#N/A</v>
      </c>
      <c r="G33" s="58"/>
      <c r="H33" s="56"/>
      <c r="I33" s="27" t="e">
        <f>VLOOKUP(I32, choices!$M$2:$N$6, 2, 0)</f>
        <v>#N/A</v>
      </c>
      <c r="J33" s="52"/>
    </row>
    <row r="34" spans="1:12" ht="21" x14ac:dyDescent="0.4">
      <c r="A34" s="209" t="s">
        <v>231</v>
      </c>
      <c r="B34" s="210"/>
      <c r="C34" s="210"/>
      <c r="D34" s="210"/>
      <c r="E34" s="210"/>
      <c r="F34" s="210"/>
      <c r="G34" s="210"/>
      <c r="H34" s="210"/>
      <c r="I34" s="210"/>
      <c r="J34" s="52"/>
    </row>
    <row r="35" spans="1:12" ht="10.050000000000001" customHeight="1" thickBot="1" x14ac:dyDescent="0.35">
      <c r="A35" s="61"/>
      <c r="B35" s="62"/>
      <c r="C35" s="57"/>
      <c r="D35" s="57"/>
      <c r="E35" s="57"/>
      <c r="F35" s="57"/>
      <c r="G35" s="57"/>
      <c r="H35" s="57"/>
      <c r="I35" s="57"/>
      <c r="J35" s="52"/>
    </row>
    <row r="36" spans="1:12" ht="14.4" customHeight="1" x14ac:dyDescent="0.3">
      <c r="A36" s="61"/>
      <c r="B36" s="181" t="s">
        <v>263</v>
      </c>
      <c r="C36" s="211"/>
      <c r="D36" s="211"/>
      <c r="E36" s="212"/>
      <c r="F36" s="63" t="s">
        <v>202</v>
      </c>
      <c r="G36" s="27"/>
      <c r="H36" s="143" t="s">
        <v>211</v>
      </c>
      <c r="I36" s="64" t="s">
        <v>209</v>
      </c>
      <c r="J36" s="123"/>
      <c r="K36" s="115" t="b">
        <v>0</v>
      </c>
      <c r="L36" s="116" t="b">
        <v>0</v>
      </c>
    </row>
    <row r="37" spans="1:12" ht="14.4" customHeight="1" thickBot="1" x14ac:dyDescent="0.35">
      <c r="A37" s="61"/>
      <c r="B37" s="183"/>
      <c r="C37" s="213"/>
      <c r="D37" s="213"/>
      <c r="E37" s="214"/>
      <c r="F37" s="65" t="s">
        <v>213</v>
      </c>
      <c r="G37" s="27"/>
      <c r="H37" s="143" t="s">
        <v>212</v>
      </c>
      <c r="I37" s="66" t="s">
        <v>210</v>
      </c>
      <c r="J37" s="123"/>
      <c r="K37" s="116" t="b">
        <v>0</v>
      </c>
      <c r="L37" s="116" t="b">
        <v>0</v>
      </c>
    </row>
    <row r="38" spans="1:12" ht="14.4" customHeight="1" x14ac:dyDescent="0.3">
      <c r="A38" s="61"/>
      <c r="B38" s="183"/>
      <c r="C38" s="213"/>
      <c r="D38" s="213"/>
      <c r="E38" s="214"/>
      <c r="F38" s="65" t="s">
        <v>203</v>
      </c>
      <c r="G38" s="27"/>
      <c r="H38" s="57"/>
      <c r="I38" s="57"/>
      <c r="J38" s="52"/>
      <c r="K38" s="116" t="b">
        <v>0</v>
      </c>
      <c r="L38" s="116"/>
    </row>
    <row r="39" spans="1:12" ht="14.4" customHeight="1" x14ac:dyDescent="0.3">
      <c r="A39" s="61"/>
      <c r="B39" s="183"/>
      <c r="C39" s="213"/>
      <c r="D39" s="213"/>
      <c r="E39" s="214"/>
      <c r="F39" s="65" t="s">
        <v>204</v>
      </c>
      <c r="G39" s="27"/>
      <c r="H39" s="57"/>
      <c r="I39" s="57"/>
      <c r="J39" s="52"/>
      <c r="K39" s="116" t="b">
        <v>0</v>
      </c>
      <c r="L39" s="116"/>
    </row>
    <row r="40" spans="1:12" ht="14.4" customHeight="1" x14ac:dyDescent="0.3">
      <c r="A40" s="61"/>
      <c r="B40" s="183"/>
      <c r="C40" s="213"/>
      <c r="D40" s="213"/>
      <c r="E40" s="214"/>
      <c r="F40" s="65" t="s">
        <v>205</v>
      </c>
      <c r="G40" s="27"/>
      <c r="H40" s="57"/>
      <c r="I40" s="57"/>
      <c r="J40" s="52"/>
      <c r="K40" s="116" t="b">
        <v>0</v>
      </c>
      <c r="L40" s="116"/>
    </row>
    <row r="41" spans="1:12" ht="14.4" customHeight="1" x14ac:dyDescent="0.3">
      <c r="A41" s="61"/>
      <c r="B41" s="183"/>
      <c r="C41" s="213"/>
      <c r="D41" s="213"/>
      <c r="E41" s="214"/>
      <c r="F41" s="65" t="s">
        <v>206</v>
      </c>
      <c r="G41" s="27"/>
      <c r="H41" s="57"/>
      <c r="I41" s="57"/>
      <c r="J41" s="52"/>
      <c r="K41" s="116" t="b">
        <v>0</v>
      </c>
      <c r="L41" s="116"/>
    </row>
    <row r="42" spans="1:12" ht="14.4" customHeight="1" x14ac:dyDescent="0.3">
      <c r="A42" s="61"/>
      <c r="B42" s="183"/>
      <c r="C42" s="213"/>
      <c r="D42" s="213"/>
      <c r="E42" s="214"/>
      <c r="F42" s="65" t="s">
        <v>207</v>
      </c>
      <c r="G42" s="27"/>
      <c r="H42" s="57"/>
      <c r="I42" s="57"/>
      <c r="J42" s="52"/>
      <c r="K42" s="116" t="b">
        <v>0</v>
      </c>
      <c r="L42" s="116"/>
    </row>
    <row r="43" spans="1:12" ht="14.4" customHeight="1" thickBot="1" x14ac:dyDescent="0.35">
      <c r="A43" s="61"/>
      <c r="B43" s="185"/>
      <c r="C43" s="215"/>
      <c r="D43" s="215"/>
      <c r="E43" s="216"/>
      <c r="F43" s="67" t="s">
        <v>208</v>
      </c>
      <c r="G43" s="27"/>
      <c r="H43" s="57"/>
      <c r="I43" s="57"/>
      <c r="J43" s="52"/>
      <c r="K43" s="116" t="b">
        <v>0</v>
      </c>
      <c r="L43" s="116"/>
    </row>
    <row r="44" spans="1:12" ht="10.050000000000001" customHeight="1" x14ac:dyDescent="0.3">
      <c r="A44" s="61"/>
      <c r="B44" s="68"/>
      <c r="C44" s="68"/>
      <c r="D44" s="57"/>
      <c r="E44" s="57"/>
      <c r="F44" s="57"/>
      <c r="G44" s="57"/>
      <c r="H44" s="57"/>
      <c r="I44" s="57"/>
      <c r="J44" s="52"/>
      <c r="K44" s="116"/>
      <c r="L44" s="116"/>
    </row>
    <row r="45" spans="1:12" ht="21" x14ac:dyDescent="0.4">
      <c r="A45" s="209" t="s">
        <v>232</v>
      </c>
      <c r="B45" s="210"/>
      <c r="C45" s="210"/>
      <c r="D45" s="210"/>
      <c r="E45" s="210"/>
      <c r="F45" s="210"/>
      <c r="G45" s="210"/>
      <c r="H45" s="210"/>
      <c r="I45" s="210"/>
      <c r="J45" s="52"/>
    </row>
    <row r="46" spans="1:12" ht="10.050000000000001" customHeight="1" thickBot="1" x14ac:dyDescent="0.35">
      <c r="A46" s="61"/>
      <c r="B46" s="62"/>
      <c r="C46" s="57"/>
      <c r="D46" s="57"/>
      <c r="E46" s="57"/>
      <c r="F46" s="57"/>
      <c r="G46" s="57"/>
      <c r="H46" s="57"/>
      <c r="I46" s="57"/>
      <c r="J46" s="52"/>
    </row>
    <row r="47" spans="1:12" ht="14.4" customHeight="1" x14ac:dyDescent="0.3">
      <c r="A47" s="61"/>
      <c r="B47" s="181" t="s">
        <v>264</v>
      </c>
      <c r="C47" s="182"/>
      <c r="D47" s="27"/>
      <c r="E47" s="69" t="s">
        <v>214</v>
      </c>
      <c r="F47" s="70"/>
      <c r="G47" s="124"/>
      <c r="H47" s="69" t="s">
        <v>222</v>
      </c>
      <c r="I47" s="70"/>
      <c r="J47" s="52"/>
      <c r="K47" s="110" t="b">
        <v>0</v>
      </c>
      <c r="L47" s="110" t="b">
        <v>0</v>
      </c>
    </row>
    <row r="48" spans="1:12" x14ac:dyDescent="0.3">
      <c r="A48" s="61"/>
      <c r="B48" s="183"/>
      <c r="C48" s="184"/>
      <c r="D48" s="27"/>
      <c r="E48" s="71" t="s">
        <v>215</v>
      </c>
      <c r="F48" s="72"/>
      <c r="G48" s="124"/>
      <c r="H48" s="71" t="s">
        <v>223</v>
      </c>
      <c r="I48" s="72"/>
      <c r="J48" s="52"/>
      <c r="K48" s="110" t="b">
        <v>0</v>
      </c>
      <c r="L48" s="110" t="b">
        <v>0</v>
      </c>
    </row>
    <row r="49" spans="1:12" x14ac:dyDescent="0.3">
      <c r="A49" s="61"/>
      <c r="B49" s="183"/>
      <c r="C49" s="184"/>
      <c r="D49" s="27"/>
      <c r="E49" s="71" t="s">
        <v>216</v>
      </c>
      <c r="F49" s="72"/>
      <c r="G49" s="124"/>
      <c r="H49" s="71" t="s">
        <v>224</v>
      </c>
      <c r="I49" s="72"/>
      <c r="J49" s="52"/>
      <c r="K49" s="110" t="b">
        <v>0</v>
      </c>
      <c r="L49" s="110" t="b">
        <v>0</v>
      </c>
    </row>
    <row r="50" spans="1:12" x14ac:dyDescent="0.3">
      <c r="A50" s="61"/>
      <c r="B50" s="183"/>
      <c r="C50" s="184"/>
      <c r="D50" s="27"/>
      <c r="E50" s="71" t="s">
        <v>217</v>
      </c>
      <c r="F50" s="72"/>
      <c r="G50" s="124"/>
      <c r="H50" s="73" t="s">
        <v>225</v>
      </c>
      <c r="I50" s="74"/>
      <c r="J50" s="52"/>
      <c r="K50" s="110" t="b">
        <v>0</v>
      </c>
      <c r="L50" s="110" t="b">
        <v>0</v>
      </c>
    </row>
    <row r="51" spans="1:12" x14ac:dyDescent="0.3">
      <c r="A51" s="61"/>
      <c r="B51" s="183"/>
      <c r="C51" s="184"/>
      <c r="D51" s="27"/>
      <c r="E51" s="71" t="s">
        <v>218</v>
      </c>
      <c r="F51" s="72"/>
      <c r="G51" s="124"/>
      <c r="H51" s="71" t="s">
        <v>226</v>
      </c>
      <c r="I51" s="72"/>
      <c r="J51" s="52"/>
      <c r="K51" s="110" t="b">
        <v>0</v>
      </c>
      <c r="L51" s="110" t="b">
        <v>0</v>
      </c>
    </row>
    <row r="52" spans="1:12" ht="15" thickBot="1" x14ac:dyDescent="0.35">
      <c r="A52" s="61"/>
      <c r="B52" s="183"/>
      <c r="C52" s="184"/>
      <c r="D52" s="27"/>
      <c r="E52" s="71" t="s">
        <v>219</v>
      </c>
      <c r="F52" s="72"/>
      <c r="G52" s="124"/>
      <c r="H52" s="75" t="s">
        <v>227</v>
      </c>
      <c r="I52" s="76"/>
      <c r="J52" s="52"/>
      <c r="K52" s="110" t="b">
        <v>0</v>
      </c>
      <c r="L52" s="110" t="b">
        <v>0</v>
      </c>
    </row>
    <row r="53" spans="1:12" x14ac:dyDescent="0.3">
      <c r="A53" s="61"/>
      <c r="B53" s="183"/>
      <c r="C53" s="184"/>
      <c r="D53" s="27"/>
      <c r="E53" s="71" t="s">
        <v>220</v>
      </c>
      <c r="F53" s="72"/>
      <c r="G53" s="77"/>
      <c r="H53" s="77"/>
      <c r="I53" s="77"/>
      <c r="J53" s="52"/>
      <c r="K53" s="110" t="b">
        <v>0</v>
      </c>
    </row>
    <row r="54" spans="1:12" ht="15" thickBot="1" x14ac:dyDescent="0.35">
      <c r="A54" s="61"/>
      <c r="B54" s="185"/>
      <c r="C54" s="186"/>
      <c r="D54" s="27" t="b">
        <v>0</v>
      </c>
      <c r="E54" s="75" t="s">
        <v>221</v>
      </c>
      <c r="F54" s="76"/>
      <c r="G54" s="77"/>
      <c r="H54" s="77"/>
      <c r="I54" s="77"/>
      <c r="J54" s="52"/>
      <c r="K54" s="110" t="b">
        <v>0</v>
      </c>
    </row>
    <row r="55" spans="1:12" ht="10.050000000000001" customHeight="1" x14ac:dyDescent="0.3">
      <c r="A55" s="61"/>
      <c r="B55" s="62"/>
      <c r="C55" s="57"/>
      <c r="D55" s="57"/>
      <c r="E55" s="57"/>
      <c r="F55" s="57"/>
      <c r="G55" s="57"/>
      <c r="H55" s="57"/>
      <c r="I55" s="57"/>
      <c r="J55" s="52"/>
    </row>
    <row r="56" spans="1:12" ht="21" customHeight="1" x14ac:dyDescent="0.4">
      <c r="A56" s="188" t="s">
        <v>233</v>
      </c>
      <c r="B56" s="189"/>
      <c r="C56" s="189"/>
      <c r="D56" s="189"/>
      <c r="E56" s="189"/>
      <c r="F56" s="189"/>
      <c r="G56" s="189"/>
      <c r="H56" s="189"/>
      <c r="I56" s="189"/>
      <c r="J56" s="52"/>
    </row>
    <row r="57" spans="1:12" ht="10.050000000000001" customHeight="1" x14ac:dyDescent="0.4">
      <c r="A57" s="139"/>
      <c r="B57" s="140"/>
      <c r="C57" s="140"/>
      <c r="D57" s="140"/>
      <c r="E57" s="140"/>
      <c r="F57" s="140"/>
      <c r="G57" s="140"/>
      <c r="H57" s="140"/>
      <c r="I57" s="140"/>
      <c r="J57" s="52"/>
    </row>
    <row r="58" spans="1:12" s="83" customFormat="1" ht="14.4" customHeight="1" thickBot="1" x14ac:dyDescent="0.35">
      <c r="A58" s="80"/>
      <c r="B58" s="81"/>
      <c r="C58" s="81"/>
      <c r="D58" s="81"/>
      <c r="E58" s="81" t="s">
        <v>234</v>
      </c>
      <c r="F58" s="81" t="s">
        <v>235</v>
      </c>
      <c r="G58" s="81"/>
      <c r="H58" s="81" t="s">
        <v>234</v>
      </c>
      <c r="I58" s="81" t="s">
        <v>235</v>
      </c>
      <c r="J58" s="82"/>
      <c r="K58" s="111"/>
      <c r="L58" s="111"/>
    </row>
    <row r="59" spans="1:12" ht="14.4" customHeight="1" x14ac:dyDescent="0.3">
      <c r="A59" s="84"/>
      <c r="B59" s="193" t="s">
        <v>265</v>
      </c>
      <c r="C59" s="199"/>
      <c r="D59" s="85">
        <v>1</v>
      </c>
      <c r="E59" s="39"/>
      <c r="F59" s="40"/>
      <c r="G59" s="85">
        <v>6</v>
      </c>
      <c r="H59" s="39"/>
      <c r="I59" s="40"/>
      <c r="J59" s="52"/>
    </row>
    <row r="60" spans="1:12" ht="14.4" customHeight="1" x14ac:dyDescent="0.3">
      <c r="A60" s="84"/>
      <c r="B60" s="200"/>
      <c r="C60" s="201"/>
      <c r="D60" s="85">
        <v>2</v>
      </c>
      <c r="E60" s="36"/>
      <c r="F60" s="34"/>
      <c r="G60" s="85">
        <v>7</v>
      </c>
      <c r="H60" s="36"/>
      <c r="I60" s="34"/>
      <c r="J60" s="52"/>
    </row>
    <row r="61" spans="1:12" ht="14.4" customHeight="1" x14ac:dyDescent="0.3">
      <c r="A61" s="84"/>
      <c r="B61" s="200"/>
      <c r="C61" s="201"/>
      <c r="D61" s="85">
        <v>3</v>
      </c>
      <c r="E61" s="36"/>
      <c r="F61" s="34"/>
      <c r="G61" s="85">
        <v>8</v>
      </c>
      <c r="H61" s="36"/>
      <c r="I61" s="34"/>
      <c r="J61" s="52"/>
    </row>
    <row r="62" spans="1:12" ht="14.4" customHeight="1" x14ac:dyDescent="0.3">
      <c r="A62" s="84"/>
      <c r="B62" s="200"/>
      <c r="C62" s="201"/>
      <c r="D62" s="85">
        <v>4</v>
      </c>
      <c r="E62" s="36"/>
      <c r="F62" s="34"/>
      <c r="G62" s="85">
        <v>9</v>
      </c>
      <c r="H62" s="36"/>
      <c r="I62" s="34"/>
      <c r="J62" s="52"/>
    </row>
    <row r="63" spans="1:12" ht="14.4" customHeight="1" thickBot="1" x14ac:dyDescent="0.35">
      <c r="A63" s="84"/>
      <c r="B63" s="202"/>
      <c r="C63" s="203"/>
      <c r="D63" s="85">
        <v>5</v>
      </c>
      <c r="E63" s="37"/>
      <c r="F63" s="35"/>
      <c r="G63" s="85">
        <v>10</v>
      </c>
      <c r="H63" s="37"/>
      <c r="I63" s="35"/>
      <c r="J63" s="52"/>
    </row>
    <row r="64" spans="1:12" ht="10.050000000000001" customHeight="1" x14ac:dyDescent="0.3">
      <c r="A64" s="86"/>
      <c r="B64" s="87"/>
      <c r="C64" s="87"/>
      <c r="D64" s="87"/>
      <c r="E64" s="87"/>
      <c r="F64" s="87"/>
      <c r="G64" s="87"/>
      <c r="H64" s="87"/>
      <c r="I64" s="87"/>
      <c r="J64" s="52"/>
    </row>
    <row r="65" spans="1:12" ht="21" customHeight="1" x14ac:dyDescent="0.4">
      <c r="A65" s="188" t="s">
        <v>260</v>
      </c>
      <c r="B65" s="189"/>
      <c r="C65" s="189"/>
      <c r="D65" s="189"/>
      <c r="E65" s="189"/>
      <c r="F65" s="189"/>
      <c r="G65" s="189"/>
      <c r="H65" s="189"/>
      <c r="I65" s="189"/>
      <c r="J65" s="52"/>
    </row>
    <row r="66" spans="1:12" ht="10.050000000000001" customHeight="1" x14ac:dyDescent="0.4">
      <c r="A66" s="139"/>
      <c r="B66" s="140"/>
      <c r="C66" s="140"/>
      <c r="D66" s="140"/>
      <c r="E66" s="140"/>
      <c r="F66" s="140"/>
      <c r="G66" s="140"/>
      <c r="H66" s="140"/>
      <c r="I66" s="140"/>
      <c r="J66" s="52"/>
    </row>
    <row r="67" spans="1:12" s="83" customFormat="1" ht="14.4" customHeight="1" thickBot="1" x14ac:dyDescent="0.35">
      <c r="A67" s="80"/>
      <c r="B67" s="81"/>
      <c r="C67" s="81"/>
      <c r="D67" s="81"/>
      <c r="E67" s="81" t="s">
        <v>234</v>
      </c>
      <c r="F67" s="81" t="s">
        <v>235</v>
      </c>
      <c r="G67" s="81"/>
      <c r="H67" s="81" t="s">
        <v>234</v>
      </c>
      <c r="I67" s="81" t="s">
        <v>235</v>
      </c>
      <c r="J67" s="82"/>
      <c r="K67" s="111"/>
      <c r="L67" s="111"/>
    </row>
    <row r="68" spans="1:12" ht="14.4" customHeight="1" x14ac:dyDescent="0.3">
      <c r="A68" s="84"/>
      <c r="B68" s="193" t="s">
        <v>266</v>
      </c>
      <c r="C68" s="199"/>
      <c r="D68" s="85">
        <v>1</v>
      </c>
      <c r="E68" s="39"/>
      <c r="F68" s="40"/>
      <c r="G68" s="85">
        <v>6</v>
      </c>
      <c r="H68" s="39"/>
      <c r="I68" s="40"/>
      <c r="J68" s="52"/>
    </row>
    <row r="69" spans="1:12" ht="14.4" customHeight="1" x14ac:dyDescent="0.3">
      <c r="A69" s="84"/>
      <c r="B69" s="200"/>
      <c r="C69" s="201"/>
      <c r="D69" s="85">
        <v>2</v>
      </c>
      <c r="E69" s="36"/>
      <c r="F69" s="34"/>
      <c r="G69" s="85">
        <v>7</v>
      </c>
      <c r="H69" s="36"/>
      <c r="I69" s="34"/>
      <c r="J69" s="52"/>
    </row>
    <row r="70" spans="1:12" ht="14.4" customHeight="1" x14ac:dyDescent="0.3">
      <c r="A70" s="84"/>
      <c r="B70" s="200"/>
      <c r="C70" s="201"/>
      <c r="D70" s="85">
        <v>3</v>
      </c>
      <c r="E70" s="36"/>
      <c r="F70" s="34"/>
      <c r="G70" s="85">
        <v>8</v>
      </c>
      <c r="H70" s="36"/>
      <c r="I70" s="34"/>
      <c r="J70" s="52"/>
    </row>
    <row r="71" spans="1:12" ht="14.4" customHeight="1" x14ac:dyDescent="0.3">
      <c r="A71" s="84"/>
      <c r="B71" s="200"/>
      <c r="C71" s="201"/>
      <c r="D71" s="85">
        <v>4</v>
      </c>
      <c r="E71" s="36"/>
      <c r="F71" s="34"/>
      <c r="G71" s="85">
        <v>9</v>
      </c>
      <c r="H71" s="36"/>
      <c r="I71" s="34"/>
      <c r="J71" s="52"/>
    </row>
    <row r="72" spans="1:12" ht="14.4" customHeight="1" thickBot="1" x14ac:dyDescent="0.35">
      <c r="A72" s="84"/>
      <c r="B72" s="202"/>
      <c r="C72" s="203"/>
      <c r="D72" s="85">
        <v>5</v>
      </c>
      <c r="E72" s="37"/>
      <c r="F72" s="35"/>
      <c r="G72" s="85">
        <v>10</v>
      </c>
      <c r="H72" s="37"/>
      <c r="I72" s="35"/>
      <c r="J72" s="52"/>
    </row>
    <row r="73" spans="1:12" ht="10.050000000000001" customHeight="1" x14ac:dyDescent="0.3">
      <c r="A73" s="86"/>
      <c r="B73" s="87"/>
      <c r="C73" s="87"/>
      <c r="D73" s="87"/>
      <c r="E73" s="87"/>
      <c r="F73" s="87"/>
      <c r="G73" s="87"/>
      <c r="H73" s="87"/>
      <c r="I73" s="87"/>
      <c r="J73" s="52"/>
    </row>
    <row r="74" spans="1:12" ht="21" customHeight="1" x14ac:dyDescent="0.4">
      <c r="A74" s="188" t="s">
        <v>236</v>
      </c>
      <c r="B74" s="189"/>
      <c r="C74" s="189"/>
      <c r="D74" s="189"/>
      <c r="E74" s="189"/>
      <c r="F74" s="189"/>
      <c r="G74" s="189"/>
      <c r="H74" s="189"/>
      <c r="I74" s="189"/>
      <c r="J74" s="52"/>
    </row>
    <row r="75" spans="1:12" ht="10.050000000000001" customHeight="1" thickBot="1" x14ac:dyDescent="0.35">
      <c r="A75" s="86"/>
      <c r="B75" s="87"/>
      <c r="C75" s="87"/>
      <c r="D75" s="87"/>
      <c r="E75" s="87"/>
      <c r="F75" s="87"/>
      <c r="G75" s="87"/>
      <c r="H75" s="87"/>
      <c r="I75" s="87"/>
      <c r="J75" s="52"/>
    </row>
    <row r="76" spans="1:12" ht="14.4" customHeight="1" x14ac:dyDescent="0.3">
      <c r="A76" s="86"/>
      <c r="B76" s="193" t="s">
        <v>267</v>
      </c>
      <c r="C76" s="204"/>
      <c r="D76" s="125" t="b">
        <v>0</v>
      </c>
      <c r="E76" s="88" t="s">
        <v>237</v>
      </c>
      <c r="F76" s="89"/>
      <c r="G76" s="87"/>
      <c r="H76" s="87"/>
      <c r="I76" s="87"/>
      <c r="J76" s="52"/>
      <c r="K76" s="110" t="b">
        <v>0</v>
      </c>
    </row>
    <row r="77" spans="1:12" ht="14.4" customHeight="1" x14ac:dyDescent="0.3">
      <c r="A77" s="61"/>
      <c r="B77" s="205"/>
      <c r="C77" s="206"/>
      <c r="D77" s="27" t="b">
        <v>0</v>
      </c>
      <c r="E77" s="90" t="s">
        <v>238</v>
      </c>
      <c r="F77" s="91"/>
      <c r="G77" s="92"/>
      <c r="H77" s="92"/>
      <c r="I77" s="92"/>
      <c r="J77" s="52"/>
      <c r="K77" s="110" t="b">
        <v>0</v>
      </c>
    </row>
    <row r="78" spans="1:12" ht="14.4" customHeight="1" x14ac:dyDescent="0.3">
      <c r="A78" s="61"/>
      <c r="B78" s="205"/>
      <c r="C78" s="206"/>
      <c r="D78" s="27"/>
      <c r="E78" s="90" t="s">
        <v>239</v>
      </c>
      <c r="F78" s="91"/>
      <c r="G78" s="92"/>
      <c r="H78" s="92"/>
      <c r="I78" s="92"/>
      <c r="J78" s="52"/>
      <c r="K78" s="110" t="b">
        <v>0</v>
      </c>
    </row>
    <row r="79" spans="1:12" ht="14.4" customHeight="1" x14ac:dyDescent="0.3">
      <c r="A79" s="61"/>
      <c r="B79" s="205"/>
      <c r="C79" s="206"/>
      <c r="D79" s="27" t="b">
        <v>0</v>
      </c>
      <c r="E79" s="90" t="s">
        <v>240</v>
      </c>
      <c r="F79" s="91"/>
      <c r="G79" s="92"/>
      <c r="H79" s="92"/>
      <c r="I79" s="92"/>
      <c r="J79" s="52"/>
      <c r="K79" s="110" t="b">
        <v>0</v>
      </c>
    </row>
    <row r="80" spans="1:12" ht="14.4" customHeight="1" x14ac:dyDescent="0.3">
      <c r="A80" s="61"/>
      <c r="B80" s="205"/>
      <c r="C80" s="206"/>
      <c r="D80" s="27" t="b">
        <v>0</v>
      </c>
      <c r="E80" s="90" t="s">
        <v>241</v>
      </c>
      <c r="F80" s="91"/>
      <c r="G80" s="92"/>
      <c r="H80" s="92"/>
      <c r="I80" s="92"/>
      <c r="J80" s="52"/>
      <c r="K80" s="110" t="b">
        <v>0</v>
      </c>
    </row>
    <row r="81" spans="1:11" ht="14.4" customHeight="1" x14ac:dyDescent="0.3">
      <c r="A81" s="61"/>
      <c r="B81" s="205"/>
      <c r="C81" s="206"/>
      <c r="D81" s="27" t="b">
        <v>0</v>
      </c>
      <c r="E81" s="90" t="s">
        <v>242</v>
      </c>
      <c r="F81" s="91"/>
      <c r="G81" s="92"/>
      <c r="H81" s="92"/>
      <c r="I81" s="92"/>
      <c r="J81" s="52"/>
      <c r="K81" s="110" t="b">
        <v>0</v>
      </c>
    </row>
    <row r="82" spans="1:11" ht="14.4" customHeight="1" x14ac:dyDescent="0.3">
      <c r="A82" s="61"/>
      <c r="B82" s="205"/>
      <c r="C82" s="206"/>
      <c r="D82" s="27" t="b">
        <v>0</v>
      </c>
      <c r="E82" s="90" t="s">
        <v>243</v>
      </c>
      <c r="F82" s="91"/>
      <c r="G82" s="92"/>
      <c r="H82" s="92"/>
      <c r="I82" s="92"/>
      <c r="J82" s="52"/>
      <c r="K82" s="110" t="b">
        <v>0</v>
      </c>
    </row>
    <row r="83" spans="1:11" ht="14.4" customHeight="1" thickBot="1" x14ac:dyDescent="0.35">
      <c r="A83" s="61" t="s">
        <v>244</v>
      </c>
      <c r="B83" s="207"/>
      <c r="C83" s="208"/>
      <c r="D83" s="27" t="b">
        <v>0</v>
      </c>
      <c r="E83" s="93" t="s">
        <v>245</v>
      </c>
      <c r="F83" s="94"/>
      <c r="G83" s="92"/>
      <c r="H83" s="92"/>
      <c r="I83" s="92"/>
      <c r="J83" s="52"/>
      <c r="K83" s="110" t="b">
        <v>0</v>
      </c>
    </row>
    <row r="84" spans="1:11" ht="14.4" customHeight="1" x14ac:dyDescent="0.3">
      <c r="A84" s="61"/>
      <c r="B84" s="95"/>
      <c r="C84" s="95"/>
      <c r="D84" s="27"/>
      <c r="E84" s="96"/>
      <c r="F84" s="97"/>
      <c r="G84" s="92"/>
      <c r="H84" s="92"/>
      <c r="I84" s="92"/>
      <c r="J84" s="52"/>
    </row>
    <row r="85" spans="1:11" ht="21" customHeight="1" x14ac:dyDescent="0.4">
      <c r="A85" s="188" t="s">
        <v>246</v>
      </c>
      <c r="B85" s="189"/>
      <c r="C85" s="189"/>
      <c r="D85" s="189"/>
      <c r="E85" s="189"/>
      <c r="F85" s="189"/>
      <c r="G85" s="189"/>
      <c r="H85" s="189"/>
      <c r="I85" s="189"/>
      <c r="J85" s="52"/>
    </row>
    <row r="86" spans="1:11" ht="10.050000000000001" customHeight="1" thickBot="1" x14ac:dyDescent="0.35">
      <c r="A86" s="61"/>
      <c r="B86" s="98"/>
      <c r="C86" s="98"/>
      <c r="D86" s="57"/>
      <c r="E86" s="99"/>
      <c r="F86" s="97"/>
      <c r="G86" s="92"/>
      <c r="H86" s="92"/>
      <c r="I86" s="92"/>
      <c r="J86" s="52"/>
    </row>
    <row r="87" spans="1:11" ht="14.4" customHeight="1" thickBot="1" x14ac:dyDescent="0.35">
      <c r="A87" s="61"/>
      <c r="B87" s="181" t="s">
        <v>247</v>
      </c>
      <c r="C87" s="182"/>
      <c r="D87" s="57"/>
      <c r="E87" s="99"/>
      <c r="F87" s="97"/>
      <c r="G87" s="92"/>
      <c r="H87" s="92"/>
      <c r="I87" s="92"/>
      <c r="J87" s="52"/>
    </row>
    <row r="88" spans="1:11" ht="14.4" customHeight="1" thickBot="1" x14ac:dyDescent="0.35">
      <c r="A88" s="61"/>
      <c r="B88" s="183"/>
      <c r="C88" s="184"/>
      <c r="D88" s="27">
        <f>IF(E88="Paper", 1, IF(E88="CAPI", 2, 3))</f>
        <v>3</v>
      </c>
      <c r="E88" s="191" t="s">
        <v>181</v>
      </c>
      <c r="F88" s="192"/>
      <c r="G88" s="92"/>
      <c r="H88" s="92"/>
      <c r="I88" s="92"/>
      <c r="J88" s="52"/>
    </row>
    <row r="89" spans="1:11" ht="14.4" customHeight="1" thickBot="1" x14ac:dyDescent="0.35">
      <c r="A89" s="61"/>
      <c r="B89" s="185"/>
      <c r="C89" s="186"/>
      <c r="D89" s="57"/>
      <c r="E89" s="99"/>
      <c r="F89" s="97"/>
      <c r="G89" s="92"/>
      <c r="H89" s="92"/>
      <c r="I89" s="92"/>
      <c r="J89" s="52"/>
    </row>
    <row r="90" spans="1:11" ht="10.050000000000001" customHeight="1" x14ac:dyDescent="0.3">
      <c r="A90" s="61"/>
      <c r="B90" s="95"/>
      <c r="C90" s="95"/>
      <c r="D90" s="27"/>
      <c r="E90" s="96"/>
      <c r="F90" s="97"/>
      <c r="G90" s="92"/>
      <c r="H90" s="92"/>
      <c r="I90" s="92"/>
      <c r="J90" s="52"/>
    </row>
    <row r="91" spans="1:11" ht="21" customHeight="1" x14ac:dyDescent="0.4">
      <c r="A91" s="188" t="s">
        <v>248</v>
      </c>
      <c r="B91" s="189"/>
      <c r="C91" s="189"/>
      <c r="D91" s="189"/>
      <c r="E91" s="189"/>
      <c r="F91" s="189"/>
      <c r="G91" s="189"/>
      <c r="H91" s="189"/>
      <c r="I91" s="189"/>
      <c r="J91" s="52"/>
    </row>
    <row r="92" spans="1:11" ht="10.050000000000001" customHeight="1" thickBot="1" x14ac:dyDescent="0.35">
      <c r="A92" s="61"/>
      <c r="B92" s="95"/>
      <c r="C92" s="95"/>
      <c r="D92" s="27"/>
      <c r="E92" s="96"/>
      <c r="F92" s="97"/>
      <c r="G92" s="92"/>
      <c r="H92" s="92"/>
      <c r="I92" s="92"/>
      <c r="J92" s="52"/>
    </row>
    <row r="93" spans="1:11" ht="14.4" customHeight="1" x14ac:dyDescent="0.3">
      <c r="A93" s="61"/>
      <c r="B93" s="193" t="s">
        <v>268</v>
      </c>
      <c r="C93" s="194"/>
      <c r="D93" s="27"/>
      <c r="E93" s="88" t="s">
        <v>252</v>
      </c>
      <c r="F93" s="100"/>
      <c r="G93" s="92"/>
      <c r="H93" s="92"/>
      <c r="I93" s="92"/>
      <c r="J93" s="52"/>
      <c r="K93" s="110" t="b">
        <v>0</v>
      </c>
    </row>
    <row r="94" spans="1:11" ht="14.4" customHeight="1" x14ac:dyDescent="0.3">
      <c r="A94" s="61"/>
      <c r="B94" s="195"/>
      <c r="C94" s="196"/>
      <c r="D94" s="27"/>
      <c r="E94" s="90" t="s">
        <v>250</v>
      </c>
      <c r="F94" s="91"/>
      <c r="G94" s="92"/>
      <c r="H94" s="92"/>
      <c r="I94" s="92"/>
      <c r="J94" s="52"/>
      <c r="K94" s="110" t="b">
        <v>0</v>
      </c>
    </row>
    <row r="95" spans="1:11" ht="14.4" customHeight="1" x14ac:dyDescent="0.3">
      <c r="A95" s="61"/>
      <c r="B95" s="195"/>
      <c r="C95" s="196"/>
      <c r="D95" s="27"/>
      <c r="E95" s="90" t="s">
        <v>249</v>
      </c>
      <c r="F95" s="91"/>
      <c r="G95" s="92"/>
      <c r="H95" s="92"/>
      <c r="I95" s="92"/>
      <c r="J95" s="52"/>
      <c r="K95" s="110" t="b">
        <v>0</v>
      </c>
    </row>
    <row r="96" spans="1:11" ht="14.4" customHeight="1" thickBot="1" x14ac:dyDescent="0.35">
      <c r="A96" s="61"/>
      <c r="B96" s="197"/>
      <c r="C96" s="198"/>
      <c r="D96" s="27"/>
      <c r="E96" s="93" t="s">
        <v>251</v>
      </c>
      <c r="F96" s="94"/>
      <c r="G96" s="92"/>
      <c r="H96" s="92"/>
      <c r="I96" s="92"/>
      <c r="J96" s="52"/>
      <c r="K96" s="110" t="b">
        <v>0</v>
      </c>
    </row>
    <row r="97" spans="1:10" ht="10.050000000000001" customHeight="1" x14ac:dyDescent="0.3">
      <c r="A97" s="61"/>
      <c r="B97" s="95"/>
      <c r="C97" s="95"/>
      <c r="D97" s="27"/>
      <c r="E97" s="96"/>
      <c r="F97" s="97"/>
      <c r="G97" s="92"/>
      <c r="H97" s="92"/>
      <c r="I97" s="92"/>
      <c r="J97" s="52"/>
    </row>
    <row r="98" spans="1:10" ht="21" customHeight="1" x14ac:dyDescent="0.4">
      <c r="A98" s="188" t="s">
        <v>253</v>
      </c>
      <c r="B98" s="189"/>
      <c r="C98" s="189"/>
      <c r="D98" s="189"/>
      <c r="E98" s="189"/>
      <c r="F98" s="189"/>
      <c r="G98" s="189"/>
      <c r="H98" s="189"/>
      <c r="I98" s="189"/>
      <c r="J98" s="52"/>
    </row>
    <row r="99" spans="1:10" ht="10.050000000000001" customHeight="1" thickBot="1" x14ac:dyDescent="0.35">
      <c r="A99" s="61"/>
      <c r="B99" s="98"/>
      <c r="C99" s="98"/>
      <c r="D99" s="57"/>
      <c r="E99" s="99"/>
      <c r="F99" s="97"/>
      <c r="G99" s="92"/>
      <c r="H99" s="92"/>
      <c r="I99" s="92"/>
      <c r="J99" s="52"/>
    </row>
    <row r="100" spans="1:10" ht="14.4" customHeight="1" thickBot="1" x14ac:dyDescent="0.35">
      <c r="A100" s="61"/>
      <c r="B100" s="181" t="s">
        <v>270</v>
      </c>
      <c r="C100" s="182"/>
      <c r="D100" s="57"/>
      <c r="E100" s="99"/>
      <c r="F100" s="97"/>
      <c r="G100" s="92"/>
      <c r="H100" s="92"/>
      <c r="I100" s="92"/>
      <c r="J100" s="52"/>
    </row>
    <row r="101" spans="1:10" ht="14.4" customHeight="1" thickBot="1" x14ac:dyDescent="0.35">
      <c r="A101" s="61"/>
      <c r="B101" s="183"/>
      <c r="C101" s="184"/>
      <c r="D101" s="27">
        <f>IF(E101="Phone", 1, IF(E101="Field", 2, 3))</f>
        <v>3</v>
      </c>
      <c r="E101" s="191"/>
      <c r="F101" s="192"/>
      <c r="G101" s="92"/>
      <c r="H101" s="92"/>
      <c r="I101" s="92"/>
      <c r="J101" s="52"/>
    </row>
    <row r="102" spans="1:10" ht="14.4" customHeight="1" thickBot="1" x14ac:dyDescent="0.35">
      <c r="A102" s="61"/>
      <c r="B102" s="185"/>
      <c r="C102" s="186"/>
      <c r="D102" s="57"/>
      <c r="E102" s="99"/>
      <c r="F102" s="97"/>
      <c r="G102" s="92"/>
      <c r="H102" s="92"/>
      <c r="I102" s="92"/>
      <c r="J102" s="52"/>
    </row>
    <row r="103" spans="1:10" ht="10.050000000000001" customHeight="1" x14ac:dyDescent="0.3">
      <c r="A103" s="61"/>
      <c r="B103" s="95"/>
      <c r="C103" s="95"/>
      <c r="D103" s="27"/>
      <c r="E103" s="96"/>
      <c r="F103" s="97"/>
      <c r="G103" s="92"/>
      <c r="H103" s="92"/>
      <c r="I103" s="92"/>
      <c r="J103" s="52"/>
    </row>
    <row r="104" spans="1:10" ht="21" customHeight="1" x14ac:dyDescent="0.4">
      <c r="A104" s="188" t="s">
        <v>254</v>
      </c>
      <c r="B104" s="189"/>
      <c r="C104" s="189"/>
      <c r="D104" s="189"/>
      <c r="E104" s="189"/>
      <c r="F104" s="189"/>
      <c r="G104" s="189"/>
      <c r="H104" s="189"/>
      <c r="I104" s="189"/>
      <c r="J104" s="52"/>
    </row>
    <row r="105" spans="1:10" ht="10.050000000000001" customHeight="1" thickBot="1" x14ac:dyDescent="0.35">
      <c r="A105" s="61"/>
      <c r="B105" s="98"/>
      <c r="C105" s="98"/>
      <c r="D105" s="57"/>
      <c r="E105" s="99"/>
      <c r="F105" s="97"/>
      <c r="G105" s="92"/>
      <c r="H105" s="92"/>
      <c r="I105" s="92"/>
      <c r="J105" s="52"/>
    </row>
    <row r="106" spans="1:10" ht="14.4" customHeight="1" thickBot="1" x14ac:dyDescent="0.35">
      <c r="A106" s="61"/>
      <c r="B106" s="181" t="s">
        <v>269</v>
      </c>
      <c r="C106" s="182"/>
      <c r="D106" s="57"/>
      <c r="E106" s="99"/>
      <c r="F106" s="97"/>
      <c r="G106" s="92"/>
      <c r="H106" s="92"/>
      <c r="I106" s="92"/>
      <c r="J106" s="52"/>
    </row>
    <row r="107" spans="1:10" ht="14.4" customHeight="1" thickBot="1" x14ac:dyDescent="0.35">
      <c r="A107" s="61"/>
      <c r="B107" s="183"/>
      <c r="C107" s="184"/>
      <c r="D107" s="27">
        <f>IF(E107="Quantitative", 1, IF(E107="Qualitative", 2, 3))</f>
        <v>3</v>
      </c>
      <c r="E107" s="191"/>
      <c r="F107" s="192"/>
      <c r="G107" s="92"/>
      <c r="H107" s="92"/>
      <c r="I107" s="92"/>
      <c r="J107" s="52"/>
    </row>
    <row r="108" spans="1:10" ht="14.4" customHeight="1" thickBot="1" x14ac:dyDescent="0.35">
      <c r="A108" s="61"/>
      <c r="B108" s="185"/>
      <c r="C108" s="186"/>
      <c r="D108" s="57"/>
      <c r="E108" s="99"/>
      <c r="F108" s="97"/>
      <c r="G108" s="92"/>
      <c r="H108" s="92"/>
      <c r="I108" s="92"/>
      <c r="J108" s="52"/>
    </row>
    <row r="109" spans="1:10" ht="10.050000000000001" customHeight="1" x14ac:dyDescent="0.3">
      <c r="A109" s="61"/>
      <c r="B109" s="95"/>
      <c r="C109" s="95"/>
      <c r="D109" s="27"/>
      <c r="E109" s="96"/>
      <c r="F109" s="97"/>
      <c r="G109" s="92"/>
      <c r="H109" s="92"/>
      <c r="I109" s="92"/>
      <c r="J109" s="52"/>
    </row>
    <row r="110" spans="1:10" ht="21" customHeight="1" x14ac:dyDescent="0.4">
      <c r="A110" s="188" t="s">
        <v>259</v>
      </c>
      <c r="B110" s="189"/>
      <c r="C110" s="189"/>
      <c r="D110" s="189"/>
      <c r="E110" s="189"/>
      <c r="F110" s="189"/>
      <c r="G110" s="189"/>
      <c r="H110" s="189"/>
      <c r="I110" s="189"/>
      <c r="J110" s="52"/>
    </row>
    <row r="111" spans="1:10" ht="10.050000000000001" customHeight="1" thickBot="1" x14ac:dyDescent="0.35">
      <c r="A111" s="61"/>
      <c r="B111" s="98"/>
      <c r="C111" s="98"/>
      <c r="D111" s="57"/>
      <c r="E111" s="99"/>
      <c r="F111" s="97"/>
      <c r="G111" s="92"/>
      <c r="H111" s="92"/>
      <c r="I111" s="92"/>
      <c r="J111" s="52"/>
    </row>
    <row r="112" spans="1:10" ht="14.4" customHeight="1" thickBot="1" x14ac:dyDescent="0.35">
      <c r="A112" s="61"/>
      <c r="B112" s="181" t="s">
        <v>271</v>
      </c>
      <c r="C112" s="182"/>
      <c r="D112" s="57"/>
      <c r="E112" s="99"/>
      <c r="F112" s="97"/>
      <c r="G112" s="92"/>
      <c r="H112" s="92"/>
      <c r="I112" s="92"/>
      <c r="J112" s="52"/>
    </row>
    <row r="113" spans="1:11" ht="14.4" customHeight="1" thickBot="1" x14ac:dyDescent="0.35">
      <c r="A113" s="61"/>
      <c r="B113" s="183"/>
      <c r="C113" s="184"/>
      <c r="D113" s="27" t="e">
        <f>VLOOKUP(E113, education_val, 2, 0)</f>
        <v>#N/A</v>
      </c>
      <c r="E113" s="191"/>
      <c r="F113" s="192"/>
      <c r="G113" s="92"/>
      <c r="H113" s="92"/>
      <c r="I113" s="92"/>
      <c r="J113" s="52"/>
    </row>
    <row r="114" spans="1:11" ht="14.4" customHeight="1" thickBot="1" x14ac:dyDescent="0.35">
      <c r="A114" s="61"/>
      <c r="B114" s="185"/>
      <c r="C114" s="186"/>
      <c r="D114" s="57"/>
      <c r="E114" s="99"/>
      <c r="F114" s="97"/>
      <c r="G114" s="92"/>
      <c r="H114" s="92"/>
      <c r="I114" s="92"/>
      <c r="J114" s="52"/>
    </row>
    <row r="115" spans="1:11" ht="10.050000000000001" customHeight="1" x14ac:dyDescent="0.3">
      <c r="A115" s="61"/>
      <c r="B115" s="98"/>
      <c r="C115" s="98"/>
      <c r="D115" s="57"/>
      <c r="E115" s="99"/>
      <c r="F115" s="97"/>
      <c r="G115" s="92"/>
      <c r="H115" s="92"/>
      <c r="I115" s="92"/>
      <c r="J115" s="52"/>
    </row>
    <row r="116" spans="1:11" ht="21" customHeight="1" x14ac:dyDescent="0.4">
      <c r="A116" s="188" t="s">
        <v>255</v>
      </c>
      <c r="B116" s="189"/>
      <c r="C116" s="189"/>
      <c r="D116" s="189"/>
      <c r="E116" s="189"/>
      <c r="F116" s="189"/>
      <c r="G116" s="189"/>
      <c r="H116" s="189"/>
      <c r="I116" s="189"/>
      <c r="J116" s="52"/>
    </row>
    <row r="117" spans="1:11" ht="10.050000000000001" customHeight="1" thickBot="1" x14ac:dyDescent="0.45">
      <c r="A117" s="139"/>
      <c r="B117" s="140"/>
      <c r="C117" s="140"/>
      <c r="D117" s="140"/>
      <c r="E117" s="140"/>
      <c r="F117" s="140"/>
      <c r="G117" s="140"/>
      <c r="H117" s="140"/>
      <c r="I117" s="140"/>
      <c r="J117" s="52"/>
    </row>
    <row r="118" spans="1:11" ht="14.4" customHeight="1" x14ac:dyDescent="0.3">
      <c r="A118" s="61"/>
      <c r="B118" s="181" t="s">
        <v>272</v>
      </c>
      <c r="C118" s="182"/>
      <c r="D118" s="57"/>
      <c r="E118" s="99"/>
      <c r="F118" s="187"/>
      <c r="G118" s="187"/>
      <c r="H118" s="187"/>
      <c r="I118" s="187"/>
      <c r="J118" s="52"/>
    </row>
    <row r="119" spans="1:11" ht="14.4" customHeight="1" x14ac:dyDescent="0.3">
      <c r="A119" s="61"/>
      <c r="B119" s="183"/>
      <c r="C119" s="184"/>
      <c r="D119" s="57"/>
      <c r="E119" s="99"/>
      <c r="F119" s="187"/>
      <c r="G119" s="187"/>
      <c r="H119" s="187"/>
      <c r="I119" s="187"/>
      <c r="J119" s="52"/>
    </row>
    <row r="120" spans="1:11" ht="14.4" customHeight="1" x14ac:dyDescent="0.3">
      <c r="A120" s="61"/>
      <c r="B120" s="183"/>
      <c r="C120" s="184"/>
      <c r="D120" s="27"/>
      <c r="E120" s="99"/>
      <c r="F120" s="187"/>
      <c r="G120" s="187"/>
      <c r="H120" s="187"/>
      <c r="I120" s="187"/>
      <c r="J120" s="52"/>
      <c r="K120" s="110" t="b">
        <v>0</v>
      </c>
    </row>
    <row r="121" spans="1:11" ht="14.4" customHeight="1" x14ac:dyDescent="0.3">
      <c r="A121" s="61"/>
      <c r="B121" s="183"/>
      <c r="C121" s="184"/>
      <c r="D121" s="57"/>
      <c r="E121" s="99"/>
      <c r="F121" s="187"/>
      <c r="G121" s="187"/>
      <c r="H121" s="187"/>
      <c r="I121" s="187"/>
      <c r="J121" s="52"/>
    </row>
    <row r="122" spans="1:11" ht="14.4" customHeight="1" x14ac:dyDescent="0.3">
      <c r="A122" s="61"/>
      <c r="B122" s="183"/>
      <c r="C122" s="184"/>
      <c r="D122" s="57"/>
      <c r="E122" s="99"/>
      <c r="F122" s="187"/>
      <c r="G122" s="187"/>
      <c r="H122" s="187"/>
      <c r="I122" s="187"/>
      <c r="J122" s="52"/>
    </row>
    <row r="123" spans="1:11" ht="14.4" customHeight="1" thickBot="1" x14ac:dyDescent="0.35">
      <c r="A123" s="61"/>
      <c r="B123" s="185"/>
      <c r="C123" s="186"/>
      <c r="D123" s="57"/>
      <c r="E123" s="99"/>
      <c r="F123" s="187"/>
      <c r="G123" s="187"/>
      <c r="H123" s="187"/>
      <c r="I123" s="187"/>
      <c r="J123" s="52"/>
    </row>
    <row r="124" spans="1:11" ht="10.050000000000001" customHeight="1" x14ac:dyDescent="0.3">
      <c r="A124" s="61"/>
      <c r="B124" s="98"/>
      <c r="C124" s="98"/>
      <c r="D124" s="57"/>
      <c r="E124" s="99"/>
      <c r="F124" s="97"/>
      <c r="G124" s="92"/>
      <c r="H124" s="92"/>
      <c r="I124" s="92"/>
      <c r="J124" s="52"/>
    </row>
    <row r="125" spans="1:11" ht="21" customHeight="1" x14ac:dyDescent="0.4">
      <c r="A125" s="188" t="s">
        <v>256</v>
      </c>
      <c r="B125" s="189"/>
      <c r="C125" s="189"/>
      <c r="D125" s="189"/>
      <c r="E125" s="189"/>
      <c r="F125" s="189"/>
      <c r="G125" s="189"/>
      <c r="H125" s="189"/>
      <c r="I125" s="189"/>
      <c r="J125" s="52"/>
    </row>
    <row r="126" spans="1:11" ht="10.050000000000001" customHeight="1" thickBot="1" x14ac:dyDescent="0.45">
      <c r="A126" s="139"/>
      <c r="B126" s="140"/>
      <c r="C126" s="140"/>
      <c r="D126" s="140"/>
      <c r="E126" s="140"/>
      <c r="F126" s="140"/>
      <c r="G126" s="140"/>
      <c r="H126" s="140"/>
      <c r="I126" s="140"/>
      <c r="J126" s="52"/>
    </row>
    <row r="127" spans="1:11" ht="14.4" customHeight="1" thickBot="1" x14ac:dyDescent="0.35">
      <c r="A127" s="61"/>
      <c r="B127" s="181" t="s">
        <v>258</v>
      </c>
      <c r="C127" s="182"/>
      <c r="D127" s="57"/>
      <c r="E127" s="99"/>
      <c r="F127" s="97"/>
      <c r="G127" s="92"/>
      <c r="H127" s="190" t="s">
        <v>257</v>
      </c>
      <c r="I127" s="190"/>
      <c r="J127" s="52"/>
    </row>
    <row r="128" spans="1:11" ht="14.4" customHeight="1" thickBot="1" x14ac:dyDescent="0.35">
      <c r="A128" s="61"/>
      <c r="B128" s="183"/>
      <c r="C128" s="184"/>
      <c r="D128" s="27">
        <f>IF(E128="Male", 1, 2)</f>
        <v>2</v>
      </c>
      <c r="E128" s="191"/>
      <c r="F128" s="192"/>
      <c r="G128" s="92"/>
      <c r="H128" s="190"/>
      <c r="I128" s="190"/>
      <c r="J128" s="52"/>
    </row>
    <row r="129" spans="1:10" ht="14.4" customHeight="1" thickBot="1" x14ac:dyDescent="0.35">
      <c r="A129" s="61"/>
      <c r="B129" s="185"/>
      <c r="C129" s="186"/>
      <c r="D129" s="57"/>
      <c r="E129" s="99"/>
      <c r="F129" s="97"/>
      <c r="G129" s="92"/>
      <c r="H129" s="190"/>
      <c r="I129" s="190"/>
      <c r="J129" s="52"/>
    </row>
    <row r="130" spans="1:10" ht="10.050000000000001" customHeight="1" thickBot="1" x14ac:dyDescent="0.45">
      <c r="A130" s="101"/>
      <c r="B130" s="102"/>
      <c r="C130" s="102"/>
      <c r="D130" s="102"/>
      <c r="E130" s="102"/>
      <c r="F130" s="102"/>
      <c r="G130" s="102"/>
      <c r="H130" s="102"/>
      <c r="I130" s="102"/>
      <c r="J130" s="103"/>
    </row>
    <row r="131" spans="1:10" ht="10.050000000000001" customHeight="1" thickBot="1" x14ac:dyDescent="0.45">
      <c r="A131" s="140"/>
      <c r="B131" s="140"/>
      <c r="C131" s="140"/>
      <c r="D131" s="140"/>
      <c r="E131" s="140"/>
      <c r="F131" s="140"/>
      <c r="G131" s="140"/>
      <c r="H131" s="140"/>
      <c r="I131" s="140"/>
      <c r="J131" s="96"/>
    </row>
    <row r="132" spans="1:10" ht="21" x14ac:dyDescent="0.4">
      <c r="A132" s="174" t="s">
        <v>276</v>
      </c>
      <c r="B132" s="175"/>
      <c r="C132" s="175"/>
      <c r="D132" s="175"/>
      <c r="E132" s="175"/>
      <c r="F132" s="175"/>
      <c r="G132" s="175"/>
      <c r="H132" s="175"/>
      <c r="I132" s="175"/>
      <c r="J132" s="51"/>
    </row>
    <row r="133" spans="1:10" ht="14.4" customHeight="1" x14ac:dyDescent="0.4">
      <c r="A133" s="141"/>
      <c r="B133" s="142"/>
      <c r="C133" s="142"/>
      <c r="D133" s="142"/>
      <c r="E133" s="142"/>
      <c r="F133" s="142"/>
      <c r="G133" s="142"/>
      <c r="H133" s="142"/>
      <c r="I133" s="142"/>
      <c r="J133" s="52"/>
    </row>
    <row r="134" spans="1:10" ht="54" customHeight="1" x14ac:dyDescent="0.3">
      <c r="A134" s="61"/>
      <c r="B134" s="176" t="s">
        <v>134</v>
      </c>
      <c r="C134" s="177"/>
      <c r="D134" s="177"/>
      <c r="E134" s="177"/>
      <c r="F134" s="177"/>
      <c r="G134" s="177"/>
      <c r="H134" s="177"/>
      <c r="I134" s="178"/>
      <c r="J134" s="52"/>
    </row>
    <row r="135" spans="1:10" x14ac:dyDescent="0.3">
      <c r="A135" s="61"/>
      <c r="B135" s="62"/>
      <c r="C135" s="57"/>
      <c r="D135" s="57"/>
      <c r="E135" s="57"/>
      <c r="F135" s="57"/>
      <c r="G135" s="57"/>
      <c r="H135" s="57"/>
      <c r="I135" s="57"/>
      <c r="J135" s="52"/>
    </row>
    <row r="136" spans="1:10" x14ac:dyDescent="0.3">
      <c r="A136" s="61"/>
      <c r="B136" s="179" t="s">
        <v>133</v>
      </c>
      <c r="C136" s="179"/>
      <c r="D136" s="179"/>
      <c r="E136" s="179"/>
      <c r="F136" s="179"/>
      <c r="G136" s="54"/>
      <c r="H136" s="180"/>
      <c r="I136" s="180"/>
      <c r="J136" s="52"/>
    </row>
    <row r="137" spans="1:10" ht="14.4" customHeight="1" x14ac:dyDescent="0.3">
      <c r="A137" s="105">
        <v>1</v>
      </c>
      <c r="B137" s="169" t="s">
        <v>201</v>
      </c>
      <c r="C137" s="170"/>
      <c r="D137" s="170"/>
      <c r="E137" s="170"/>
      <c r="F137" s="171"/>
      <c r="G137" s="106" t="str">
        <f>VLOOKUP($B137, metrics, 2, 0)</f>
        <v>db_score_weighted</v>
      </c>
      <c r="H137" s="172"/>
      <c r="I137" s="173"/>
      <c r="J137" s="52"/>
    </row>
    <row r="138" spans="1:10" ht="10.050000000000001" customHeight="1" x14ac:dyDescent="0.3">
      <c r="A138" s="105"/>
      <c r="B138" s="62"/>
      <c r="C138" s="57"/>
      <c r="D138" s="57"/>
      <c r="E138" s="57"/>
      <c r="F138" s="57"/>
      <c r="G138" s="57"/>
      <c r="H138" s="57"/>
      <c r="I138" s="57"/>
      <c r="J138" s="52"/>
    </row>
    <row r="139" spans="1:10" ht="14.4" customHeight="1" x14ac:dyDescent="0.3">
      <c r="A139" s="105">
        <v>2</v>
      </c>
      <c r="B139" s="169"/>
      <c r="C139" s="170"/>
      <c r="D139" s="170"/>
      <c r="E139" s="170"/>
      <c r="F139" s="171"/>
      <c r="G139" s="106" t="e">
        <f>VLOOKUP($B139, metrics, 2, 0)</f>
        <v>#N/A</v>
      </c>
      <c r="H139" s="172"/>
      <c r="I139" s="173"/>
      <c r="J139" s="52"/>
    </row>
    <row r="140" spans="1:10" ht="10.050000000000001" customHeight="1" x14ac:dyDescent="0.3">
      <c r="A140" s="105"/>
      <c r="B140" s="62"/>
      <c r="C140" s="57"/>
      <c r="D140" s="57"/>
      <c r="E140" s="57"/>
      <c r="F140" s="57"/>
      <c r="G140" s="57"/>
      <c r="H140" s="57"/>
      <c r="I140" s="57"/>
      <c r="J140" s="52"/>
    </row>
    <row r="141" spans="1:10" ht="14.4" customHeight="1" x14ac:dyDescent="0.3">
      <c r="A141" s="105">
        <v>3</v>
      </c>
      <c r="B141" s="169"/>
      <c r="C141" s="170"/>
      <c r="D141" s="170"/>
      <c r="E141" s="170"/>
      <c r="F141" s="171"/>
      <c r="G141" s="106" t="e">
        <f>VLOOKUP($B141, metrics, 2, 0)</f>
        <v>#N/A</v>
      </c>
      <c r="H141" s="172"/>
      <c r="I141" s="173"/>
      <c r="J141" s="52"/>
    </row>
    <row r="142" spans="1:10" ht="10.050000000000001" customHeight="1" x14ac:dyDescent="0.3">
      <c r="A142" s="105"/>
      <c r="B142" s="62"/>
      <c r="C142" s="57"/>
      <c r="D142" s="57"/>
      <c r="E142" s="57"/>
      <c r="F142" s="57"/>
      <c r="G142" s="57"/>
      <c r="H142" s="57"/>
      <c r="I142" s="57"/>
      <c r="J142" s="52"/>
    </row>
    <row r="143" spans="1:10" x14ac:dyDescent="0.3">
      <c r="A143" s="105">
        <v>4</v>
      </c>
      <c r="B143" s="169"/>
      <c r="C143" s="170"/>
      <c r="D143" s="170"/>
      <c r="E143" s="170"/>
      <c r="F143" s="171"/>
      <c r="G143" s="106" t="e">
        <f>VLOOKUP($B143, metrics, 2, 0)</f>
        <v>#N/A</v>
      </c>
      <c r="H143" s="172"/>
      <c r="I143" s="173"/>
      <c r="J143" s="52"/>
    </row>
    <row r="144" spans="1:10" ht="10.050000000000001" customHeight="1" x14ac:dyDescent="0.3">
      <c r="A144" s="105"/>
      <c r="B144" s="62"/>
      <c r="C144" s="57"/>
      <c r="D144" s="57"/>
      <c r="E144" s="57"/>
      <c r="F144" s="57"/>
      <c r="G144" s="57"/>
      <c r="H144" s="57"/>
      <c r="I144" s="57"/>
      <c r="J144" s="52"/>
    </row>
    <row r="145" spans="1:10" x14ac:dyDescent="0.3">
      <c r="A145" s="105">
        <v>5</v>
      </c>
      <c r="B145" s="169"/>
      <c r="C145" s="170"/>
      <c r="D145" s="170"/>
      <c r="E145" s="170"/>
      <c r="F145" s="171"/>
      <c r="G145" s="106" t="e">
        <f>VLOOKUP($B145, metrics, 2, 0)</f>
        <v>#N/A</v>
      </c>
      <c r="H145" s="172"/>
      <c r="I145" s="173"/>
      <c r="J145" s="52"/>
    </row>
    <row r="146" spans="1:10" ht="10.050000000000001" customHeight="1" x14ac:dyDescent="0.3">
      <c r="A146" s="105"/>
      <c r="B146" s="62"/>
      <c r="C146" s="57"/>
      <c r="D146" s="57"/>
      <c r="E146" s="57"/>
      <c r="F146" s="57"/>
      <c r="G146" s="57"/>
      <c r="H146" s="57"/>
      <c r="I146" s="57"/>
      <c r="J146" s="52"/>
    </row>
    <row r="147" spans="1:10" x14ac:dyDescent="0.3">
      <c r="A147" s="105">
        <v>6</v>
      </c>
      <c r="B147" s="169"/>
      <c r="C147" s="170"/>
      <c r="D147" s="170"/>
      <c r="E147" s="170"/>
      <c r="F147" s="171"/>
      <c r="G147" s="106" t="e">
        <f>VLOOKUP($B147, metrics, 2, 0)</f>
        <v>#N/A</v>
      </c>
      <c r="H147" s="172"/>
      <c r="I147" s="173"/>
      <c r="J147" s="52"/>
    </row>
    <row r="148" spans="1:10" ht="10.050000000000001" customHeight="1" thickBot="1" x14ac:dyDescent="0.35">
      <c r="A148" s="107"/>
      <c r="B148" s="108"/>
      <c r="C148" s="109"/>
      <c r="D148" s="109"/>
      <c r="E148" s="109"/>
      <c r="F148" s="109"/>
      <c r="G148" s="109"/>
      <c r="H148" s="109"/>
      <c r="I148" s="109"/>
      <c r="J148" s="103"/>
    </row>
  </sheetData>
  <sheetProtection algorithmName="SHA-512" hashValue="Vyd27YMvkD3TReDnSCNDMBgaftYGSH49sIg4IsbGU+KKx27rvs4L4JehOUtUWP07tiOOHMH1lIfnrwoAHYDhOA==" saltValue="JGsyqPWoLigj6A3h6GtFDg==" spinCount="100000" sheet="1" objects="1" scenarios="1"/>
  <mergeCells count="59">
    <mergeCell ref="E30:F30"/>
    <mergeCell ref="A2:I2"/>
    <mergeCell ref="H3:H5"/>
    <mergeCell ref="B4:C4"/>
    <mergeCell ref="D4:F4"/>
    <mergeCell ref="A7:I7"/>
    <mergeCell ref="B9:I9"/>
    <mergeCell ref="A11:I11"/>
    <mergeCell ref="B13:I13"/>
    <mergeCell ref="E18:F18"/>
    <mergeCell ref="E22:F22"/>
    <mergeCell ref="E26:F26"/>
    <mergeCell ref="B87:C89"/>
    <mergeCell ref="E88:F88"/>
    <mergeCell ref="A34:I34"/>
    <mergeCell ref="B36:E43"/>
    <mergeCell ref="A45:I45"/>
    <mergeCell ref="B47:C54"/>
    <mergeCell ref="A56:I56"/>
    <mergeCell ref="B59:C63"/>
    <mergeCell ref="A65:I65"/>
    <mergeCell ref="B68:C72"/>
    <mergeCell ref="A74:I74"/>
    <mergeCell ref="B76:C83"/>
    <mergeCell ref="A85:I85"/>
    <mergeCell ref="A116:I116"/>
    <mergeCell ref="A91:I91"/>
    <mergeCell ref="B93:C96"/>
    <mergeCell ref="A98:I98"/>
    <mergeCell ref="B100:C102"/>
    <mergeCell ref="E101:F101"/>
    <mergeCell ref="A104:I104"/>
    <mergeCell ref="B106:C108"/>
    <mergeCell ref="E107:F107"/>
    <mergeCell ref="A110:I110"/>
    <mergeCell ref="B112:C114"/>
    <mergeCell ref="E113:F113"/>
    <mergeCell ref="B118:C123"/>
    <mergeCell ref="F118:I123"/>
    <mergeCell ref="A125:I125"/>
    <mergeCell ref="B127:C129"/>
    <mergeCell ref="H127:I129"/>
    <mergeCell ref="E128:F128"/>
    <mergeCell ref="A132:I132"/>
    <mergeCell ref="B134:I134"/>
    <mergeCell ref="B136:F136"/>
    <mergeCell ref="H136:I136"/>
    <mergeCell ref="B137:F137"/>
    <mergeCell ref="H137:I137"/>
    <mergeCell ref="B145:F145"/>
    <mergeCell ref="H145:I145"/>
    <mergeCell ref="B147:F147"/>
    <mergeCell ref="H147:I147"/>
    <mergeCell ref="B139:F139"/>
    <mergeCell ref="H139:I139"/>
    <mergeCell ref="B141:F141"/>
    <mergeCell ref="H141:I141"/>
    <mergeCell ref="B143:F143"/>
    <mergeCell ref="H143:I143"/>
  </mergeCells>
  <conditionalFormatting sqref="E47:F54">
    <cfRule type="expression" dxfId="29" priority="15">
      <formula>$K47=TRUE</formula>
    </cfRule>
  </conditionalFormatting>
  <conditionalFormatting sqref="H47:I54">
    <cfRule type="expression" dxfId="28" priority="14">
      <formula>$L47=TRUE</formula>
    </cfRule>
  </conditionalFormatting>
  <conditionalFormatting sqref="E76:F84 E90:F90 E92:F97">
    <cfRule type="expression" dxfId="27" priority="13">
      <formula>$K76=TRUE</formula>
    </cfRule>
  </conditionalFormatting>
  <conditionalFormatting sqref="F89:I89">
    <cfRule type="expression" dxfId="26" priority="12">
      <formula>$A$56 = TRUE</formula>
    </cfRule>
  </conditionalFormatting>
  <conditionalFormatting sqref="F103:I103">
    <cfRule type="expression" dxfId="25" priority="11">
      <formula>$A$56 = TRUE</formula>
    </cfRule>
  </conditionalFormatting>
  <conditionalFormatting sqref="E103:F103">
    <cfRule type="expression" dxfId="24" priority="10">
      <formula>$D103=TRUE</formula>
    </cfRule>
  </conditionalFormatting>
  <conditionalFormatting sqref="F102:I102">
    <cfRule type="expression" dxfId="23" priority="9">
      <formula>$A$56 = TRUE</formula>
    </cfRule>
  </conditionalFormatting>
  <conditionalFormatting sqref="F108:I108">
    <cfRule type="expression" dxfId="22" priority="6">
      <formula>$A$56 = TRUE</formula>
    </cfRule>
  </conditionalFormatting>
  <conditionalFormatting sqref="F109:I109">
    <cfRule type="expression" dxfId="21" priority="8">
      <formula>$A$56 = TRUE</formula>
    </cfRule>
  </conditionalFormatting>
  <conditionalFormatting sqref="E109:F109">
    <cfRule type="expression" dxfId="20" priority="7">
      <formula>$D109=TRUE</formula>
    </cfRule>
  </conditionalFormatting>
  <conditionalFormatting sqref="F118:I123">
    <cfRule type="expression" dxfId="19" priority="5">
      <formula>$K$120=TRUE</formula>
    </cfRule>
  </conditionalFormatting>
  <conditionalFormatting sqref="F129:G129">
    <cfRule type="expression" dxfId="18" priority="4">
      <formula>$A$56 = TRUE</formula>
    </cfRule>
  </conditionalFormatting>
  <conditionalFormatting sqref="H127:I129">
    <cfRule type="expression" dxfId="17" priority="3">
      <formula>OR($E$128="Male", $E$128="Female")</formula>
    </cfRule>
  </conditionalFormatting>
  <conditionalFormatting sqref="F36:F43">
    <cfRule type="expression" dxfId="16" priority="2">
      <formula>$K36=TRUE</formula>
    </cfRule>
  </conditionalFormatting>
  <conditionalFormatting sqref="I36:I43">
    <cfRule type="expression" dxfId="15" priority="1">
      <formula>$L36=TRUE</formula>
    </cfRule>
  </conditionalFormatting>
  <dataValidations count="9">
    <dataValidation type="list" allowBlank="1" showInputMessage="1" showErrorMessage="1" sqref="E128:F128" xr:uid="{E106F6AA-BB0C-43D1-B99B-24FB27B5143C}">
      <formula1>gender</formula1>
    </dataValidation>
    <dataValidation type="list" allowBlank="1" showInputMessage="1" showErrorMessage="1" sqref="E107:F107" xr:uid="{8DE97AFB-111B-4980-BD2C-268C52169FD2}">
      <formula1>quantitative_or_qualitative_full</formula1>
    </dataValidation>
    <dataValidation type="list" allowBlank="1" showInputMessage="1" showErrorMessage="1" sqref="E101:F101" xr:uid="{E1D19100-DA69-46A4-8B55-3F81CD967257}">
      <formula1>interview_mode_full</formula1>
    </dataValidation>
    <dataValidation type="list" allowBlank="1" showInputMessage="1" showErrorMessage="1" sqref="E88:F88" xr:uid="{5433D720-C9C3-49A9-86F0-0884C899D58D}">
      <formula1>paper_or_capi_full</formula1>
    </dataValidation>
    <dataValidation type="list" allowBlank="1" showInputMessage="1" showErrorMessage="1" sqref="F59:F63 I59:I63 F68:F72 I68:I72" xr:uid="{4476D7DA-0820-4027-A20B-052748C62D7B}">
      <formula1>project_phase</formula1>
    </dataValidation>
    <dataValidation type="list" allowBlank="1" showInputMessage="1" showErrorMessage="1" sqref="E59:E63 H59:H63 E68:E72 H68:H72" xr:uid="{A447F0A5-C944-4DA6-8AF0-E28D0BFFE8CF}">
      <formula1>projects</formula1>
    </dataValidation>
    <dataValidation type="list" allowBlank="1" showInputMessage="1" showErrorMessage="1" sqref="E113:F113" xr:uid="{DC6DC3D0-92CF-4649-AD60-8A65565D84BC}">
      <formula1>education</formula1>
    </dataValidation>
    <dataValidation type="list" allowBlank="1" showInputMessage="1" showErrorMessage="1" sqref="H137:I137 H139:I139 H141:I141 H143:I143 H145:I145 H147:I147" xr:uid="{7E87E9DD-3716-4D7E-9ECE-D77645E6C70D}">
      <formula1>INDIRECT($G137)</formula1>
    </dataValidation>
    <dataValidation type="list" allowBlank="1" showInputMessage="1" showErrorMessage="1" sqref="B137:F137 B139:F139 B141:F141 B145:F145 B143:F143 B147:F147" xr:uid="{78050089-015A-4A42-AC8F-9DEF92A69527}">
      <formula1>preferred_criteria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8</xdr:col>
                    <xdr:colOff>22860</xdr:colOff>
                    <xdr:row>34</xdr:row>
                    <xdr:rowOff>114300</xdr:rowOff>
                  </from>
                  <to>
                    <xdr:col>8</xdr:col>
                    <xdr:colOff>266700</xdr:colOff>
                    <xdr:row>36</xdr:row>
                    <xdr:rowOff>30480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8</xdr:col>
                    <xdr:colOff>22860</xdr:colOff>
                    <xdr:row>35</xdr:row>
                    <xdr:rowOff>175260</xdr:rowOff>
                  </from>
                  <to>
                    <xdr:col>8</xdr:col>
                    <xdr:colOff>266700</xdr:colOff>
                    <xdr:row>37</xdr:row>
                    <xdr:rowOff>30480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4</xdr:col>
                    <xdr:colOff>22860</xdr:colOff>
                    <xdr:row>45</xdr:row>
                    <xdr:rowOff>106680</xdr:rowOff>
                  </from>
                  <to>
                    <xdr:col>4</xdr:col>
                    <xdr:colOff>266700</xdr:colOff>
                    <xdr:row>47</xdr:row>
                    <xdr:rowOff>22860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4</xdr:col>
                    <xdr:colOff>15240</xdr:colOff>
                    <xdr:row>47</xdr:row>
                    <xdr:rowOff>160020</xdr:rowOff>
                  </from>
                  <to>
                    <xdr:col>4</xdr:col>
                    <xdr:colOff>259080</xdr:colOff>
                    <xdr:row>49</xdr:row>
                    <xdr:rowOff>22860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4</xdr:col>
                    <xdr:colOff>15240</xdr:colOff>
                    <xdr:row>46</xdr:row>
                    <xdr:rowOff>152400</xdr:rowOff>
                  </from>
                  <to>
                    <xdr:col>4</xdr:col>
                    <xdr:colOff>259080</xdr:colOff>
                    <xdr:row>48</xdr:row>
                    <xdr:rowOff>15240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4</xdr:col>
                    <xdr:colOff>15240</xdr:colOff>
                    <xdr:row>48</xdr:row>
                    <xdr:rowOff>167640</xdr:rowOff>
                  </from>
                  <to>
                    <xdr:col>4</xdr:col>
                    <xdr:colOff>259080</xdr:colOff>
                    <xdr:row>50</xdr:row>
                    <xdr:rowOff>22860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4</xdr:col>
                    <xdr:colOff>15240</xdr:colOff>
                    <xdr:row>49</xdr:row>
                    <xdr:rowOff>152400</xdr:rowOff>
                  </from>
                  <to>
                    <xdr:col>4</xdr:col>
                    <xdr:colOff>259080</xdr:colOff>
                    <xdr:row>51</xdr:row>
                    <xdr:rowOff>7620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4</xdr:col>
                    <xdr:colOff>7620</xdr:colOff>
                    <xdr:row>50</xdr:row>
                    <xdr:rowOff>152400</xdr:rowOff>
                  </from>
                  <to>
                    <xdr:col>4</xdr:col>
                    <xdr:colOff>251460</xdr:colOff>
                    <xdr:row>52</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4</xdr:col>
                    <xdr:colOff>7620</xdr:colOff>
                    <xdr:row>51</xdr:row>
                    <xdr:rowOff>160020</xdr:rowOff>
                  </from>
                  <to>
                    <xdr:col>4</xdr:col>
                    <xdr:colOff>251460</xdr:colOff>
                    <xdr:row>53</xdr:row>
                    <xdr:rowOff>15240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4</xdr:col>
                    <xdr:colOff>7620</xdr:colOff>
                    <xdr:row>52</xdr:row>
                    <xdr:rowOff>160020</xdr:rowOff>
                  </from>
                  <to>
                    <xdr:col>4</xdr:col>
                    <xdr:colOff>251460</xdr:colOff>
                    <xdr:row>54</xdr:row>
                    <xdr:rowOff>7620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7</xdr:col>
                    <xdr:colOff>30480</xdr:colOff>
                    <xdr:row>45</xdr:row>
                    <xdr:rowOff>99060</xdr:rowOff>
                  </from>
                  <to>
                    <xdr:col>7</xdr:col>
                    <xdr:colOff>274320</xdr:colOff>
                    <xdr:row>47</xdr:row>
                    <xdr:rowOff>15240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7</xdr:col>
                    <xdr:colOff>38100</xdr:colOff>
                    <xdr:row>46</xdr:row>
                    <xdr:rowOff>152400</xdr:rowOff>
                  </from>
                  <to>
                    <xdr:col>7</xdr:col>
                    <xdr:colOff>281940</xdr:colOff>
                    <xdr:row>48</xdr:row>
                    <xdr:rowOff>7620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7</xdr:col>
                    <xdr:colOff>38100</xdr:colOff>
                    <xdr:row>47</xdr:row>
                    <xdr:rowOff>152400</xdr:rowOff>
                  </from>
                  <to>
                    <xdr:col>7</xdr:col>
                    <xdr:colOff>281940</xdr:colOff>
                    <xdr:row>49</xdr:row>
                    <xdr:rowOff>15240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7</xdr:col>
                    <xdr:colOff>38100</xdr:colOff>
                    <xdr:row>48</xdr:row>
                    <xdr:rowOff>152400</xdr:rowOff>
                  </from>
                  <to>
                    <xdr:col>7</xdr:col>
                    <xdr:colOff>281940</xdr:colOff>
                    <xdr:row>50</xdr:row>
                    <xdr:rowOff>15240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7</xdr:col>
                    <xdr:colOff>38100</xdr:colOff>
                    <xdr:row>49</xdr:row>
                    <xdr:rowOff>152400</xdr:rowOff>
                  </from>
                  <to>
                    <xdr:col>7</xdr:col>
                    <xdr:colOff>281940</xdr:colOff>
                    <xdr:row>51</xdr:row>
                    <xdr:rowOff>7620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7</xdr:col>
                    <xdr:colOff>38100</xdr:colOff>
                    <xdr:row>50</xdr:row>
                    <xdr:rowOff>152400</xdr:rowOff>
                  </from>
                  <to>
                    <xdr:col>7</xdr:col>
                    <xdr:colOff>281940</xdr:colOff>
                    <xdr:row>52</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4</xdr:col>
                    <xdr:colOff>15240</xdr:colOff>
                    <xdr:row>74</xdr:row>
                    <xdr:rowOff>99060</xdr:rowOff>
                  </from>
                  <to>
                    <xdr:col>4</xdr:col>
                    <xdr:colOff>259080</xdr:colOff>
                    <xdr:row>76</xdr:row>
                    <xdr:rowOff>15240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4</xdr:col>
                    <xdr:colOff>15240</xdr:colOff>
                    <xdr:row>75</xdr:row>
                    <xdr:rowOff>167640</xdr:rowOff>
                  </from>
                  <to>
                    <xdr:col>4</xdr:col>
                    <xdr:colOff>259080</xdr:colOff>
                    <xdr:row>77</xdr:row>
                    <xdr:rowOff>22860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4</xdr:col>
                    <xdr:colOff>15240</xdr:colOff>
                    <xdr:row>76</xdr:row>
                    <xdr:rowOff>167640</xdr:rowOff>
                  </from>
                  <to>
                    <xdr:col>4</xdr:col>
                    <xdr:colOff>259080</xdr:colOff>
                    <xdr:row>78</xdr:row>
                    <xdr:rowOff>22860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4</xdr:col>
                    <xdr:colOff>15240</xdr:colOff>
                    <xdr:row>77</xdr:row>
                    <xdr:rowOff>160020</xdr:rowOff>
                  </from>
                  <to>
                    <xdr:col>4</xdr:col>
                    <xdr:colOff>259080</xdr:colOff>
                    <xdr:row>79</xdr:row>
                    <xdr:rowOff>15240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4</xdr:col>
                    <xdr:colOff>15240</xdr:colOff>
                    <xdr:row>78</xdr:row>
                    <xdr:rowOff>152400</xdr:rowOff>
                  </from>
                  <to>
                    <xdr:col>4</xdr:col>
                    <xdr:colOff>259080</xdr:colOff>
                    <xdr:row>80</xdr:row>
                    <xdr:rowOff>7620</xdr:rowOff>
                  </to>
                </anchor>
              </controlPr>
            </control>
          </mc:Choice>
        </mc:AlternateContent>
        <mc:AlternateContent xmlns:mc="http://schemas.openxmlformats.org/markup-compatibility/2006">
          <mc:Choice Requires="x14">
            <control shapeId="4118" r:id="rId25" name="Check Box 22">
              <controlPr defaultSize="0" autoFill="0" autoLine="0" autoPict="0">
                <anchor moveWithCells="1">
                  <from>
                    <xdr:col>4</xdr:col>
                    <xdr:colOff>7620</xdr:colOff>
                    <xdr:row>79</xdr:row>
                    <xdr:rowOff>160020</xdr:rowOff>
                  </from>
                  <to>
                    <xdr:col>4</xdr:col>
                    <xdr:colOff>251460</xdr:colOff>
                    <xdr:row>81</xdr:row>
                    <xdr:rowOff>15240</xdr:rowOff>
                  </to>
                </anchor>
              </controlPr>
            </control>
          </mc:Choice>
        </mc:AlternateContent>
        <mc:AlternateContent xmlns:mc="http://schemas.openxmlformats.org/markup-compatibility/2006">
          <mc:Choice Requires="x14">
            <control shapeId="4119" r:id="rId26" name="Check Box 23">
              <controlPr defaultSize="0" autoFill="0" autoLine="0" autoPict="0">
                <anchor moveWithCells="1">
                  <from>
                    <xdr:col>4</xdr:col>
                    <xdr:colOff>7620</xdr:colOff>
                    <xdr:row>80</xdr:row>
                    <xdr:rowOff>152400</xdr:rowOff>
                  </from>
                  <to>
                    <xdr:col>4</xdr:col>
                    <xdr:colOff>251460</xdr:colOff>
                    <xdr:row>82</xdr:row>
                    <xdr:rowOff>7620</xdr:rowOff>
                  </to>
                </anchor>
              </controlPr>
            </control>
          </mc:Choice>
        </mc:AlternateContent>
        <mc:AlternateContent xmlns:mc="http://schemas.openxmlformats.org/markup-compatibility/2006">
          <mc:Choice Requires="x14">
            <control shapeId="4120" r:id="rId27" name="Check Box 24">
              <controlPr defaultSize="0" autoFill="0" autoLine="0" autoPict="0">
                <anchor moveWithCells="1">
                  <from>
                    <xdr:col>4</xdr:col>
                    <xdr:colOff>7620</xdr:colOff>
                    <xdr:row>81</xdr:row>
                    <xdr:rowOff>160020</xdr:rowOff>
                  </from>
                  <to>
                    <xdr:col>4</xdr:col>
                    <xdr:colOff>251460</xdr:colOff>
                    <xdr:row>83</xdr:row>
                    <xdr:rowOff>15240</xdr:rowOff>
                  </to>
                </anchor>
              </controlPr>
            </control>
          </mc:Choice>
        </mc:AlternateContent>
        <mc:AlternateContent xmlns:mc="http://schemas.openxmlformats.org/markup-compatibility/2006">
          <mc:Choice Requires="x14">
            <control shapeId="4121" r:id="rId28" name="Check Box 25">
              <controlPr defaultSize="0" autoFill="0" autoLine="0" autoPict="0">
                <anchor moveWithCells="1">
                  <from>
                    <xdr:col>4</xdr:col>
                    <xdr:colOff>30480</xdr:colOff>
                    <xdr:row>91</xdr:row>
                    <xdr:rowOff>106680</xdr:rowOff>
                  </from>
                  <to>
                    <xdr:col>4</xdr:col>
                    <xdr:colOff>274320</xdr:colOff>
                    <xdr:row>93</xdr:row>
                    <xdr:rowOff>22860</xdr:rowOff>
                  </to>
                </anchor>
              </controlPr>
            </control>
          </mc:Choice>
        </mc:AlternateContent>
        <mc:AlternateContent xmlns:mc="http://schemas.openxmlformats.org/markup-compatibility/2006">
          <mc:Choice Requires="x14">
            <control shapeId="4122" r:id="rId29" name="Check Box 26">
              <controlPr defaultSize="0" autoFill="0" autoLine="0" autoPict="0">
                <anchor moveWithCells="1">
                  <from>
                    <xdr:col>4</xdr:col>
                    <xdr:colOff>30480</xdr:colOff>
                    <xdr:row>92</xdr:row>
                    <xdr:rowOff>160020</xdr:rowOff>
                  </from>
                  <to>
                    <xdr:col>4</xdr:col>
                    <xdr:colOff>274320</xdr:colOff>
                    <xdr:row>94</xdr:row>
                    <xdr:rowOff>15240</xdr:rowOff>
                  </to>
                </anchor>
              </controlPr>
            </control>
          </mc:Choice>
        </mc:AlternateContent>
        <mc:AlternateContent xmlns:mc="http://schemas.openxmlformats.org/markup-compatibility/2006">
          <mc:Choice Requires="x14">
            <control shapeId="4123" r:id="rId30" name="Check Box 27">
              <controlPr defaultSize="0" autoFill="0" autoLine="0" autoPict="0">
                <anchor moveWithCells="1">
                  <from>
                    <xdr:col>4</xdr:col>
                    <xdr:colOff>30480</xdr:colOff>
                    <xdr:row>93</xdr:row>
                    <xdr:rowOff>167640</xdr:rowOff>
                  </from>
                  <to>
                    <xdr:col>4</xdr:col>
                    <xdr:colOff>274320</xdr:colOff>
                    <xdr:row>95</xdr:row>
                    <xdr:rowOff>22860</xdr:rowOff>
                  </to>
                </anchor>
              </controlPr>
            </control>
          </mc:Choice>
        </mc:AlternateContent>
        <mc:AlternateContent xmlns:mc="http://schemas.openxmlformats.org/markup-compatibility/2006">
          <mc:Choice Requires="x14">
            <control shapeId="4124" r:id="rId31" name="Check Box 28">
              <controlPr defaultSize="0" autoFill="0" autoLine="0" autoPict="0">
                <anchor moveWithCells="1">
                  <from>
                    <xdr:col>4</xdr:col>
                    <xdr:colOff>30480</xdr:colOff>
                    <xdr:row>94</xdr:row>
                    <xdr:rowOff>167640</xdr:rowOff>
                  </from>
                  <to>
                    <xdr:col>4</xdr:col>
                    <xdr:colOff>274320</xdr:colOff>
                    <xdr:row>96</xdr:row>
                    <xdr:rowOff>22860</xdr:rowOff>
                  </to>
                </anchor>
              </controlPr>
            </control>
          </mc:Choice>
        </mc:AlternateContent>
        <mc:AlternateContent xmlns:mc="http://schemas.openxmlformats.org/markup-compatibility/2006">
          <mc:Choice Requires="x14">
            <control shapeId="4125" r:id="rId32" name="Check Box 29">
              <controlPr defaultSize="0" autoFill="0" autoLine="0" autoPict="0">
                <anchor moveWithCells="1">
                  <from>
                    <xdr:col>4</xdr:col>
                    <xdr:colOff>167640</xdr:colOff>
                    <xdr:row>119</xdr:row>
                    <xdr:rowOff>7620</xdr:rowOff>
                  </from>
                  <to>
                    <xdr:col>4</xdr:col>
                    <xdr:colOff>411480</xdr:colOff>
                    <xdr:row>120</xdr:row>
                    <xdr:rowOff>45720</xdr:rowOff>
                  </to>
                </anchor>
              </controlPr>
            </control>
          </mc:Choice>
        </mc:AlternateContent>
        <mc:AlternateContent xmlns:mc="http://schemas.openxmlformats.org/markup-compatibility/2006">
          <mc:Choice Requires="x14">
            <control shapeId="4126" r:id="rId33" name="Check Box 30">
              <controlPr defaultSize="0" autoFill="0" autoLine="0" autoPict="0">
                <anchor moveWithCells="1">
                  <from>
                    <xdr:col>4</xdr:col>
                    <xdr:colOff>868680</xdr:colOff>
                    <xdr:row>34</xdr:row>
                    <xdr:rowOff>99060</xdr:rowOff>
                  </from>
                  <to>
                    <xdr:col>5</xdr:col>
                    <xdr:colOff>236220</xdr:colOff>
                    <xdr:row>36</xdr:row>
                    <xdr:rowOff>15240</xdr:rowOff>
                  </to>
                </anchor>
              </controlPr>
            </control>
          </mc:Choice>
        </mc:AlternateContent>
        <mc:AlternateContent xmlns:mc="http://schemas.openxmlformats.org/markup-compatibility/2006">
          <mc:Choice Requires="x14">
            <control shapeId="4127" r:id="rId34" name="Check Box 31">
              <controlPr defaultSize="0" autoFill="0" autoLine="0" autoPict="0">
                <anchor moveWithCells="1">
                  <from>
                    <xdr:col>5</xdr:col>
                    <xdr:colOff>0</xdr:colOff>
                    <xdr:row>35</xdr:row>
                    <xdr:rowOff>152400</xdr:rowOff>
                  </from>
                  <to>
                    <xdr:col>5</xdr:col>
                    <xdr:colOff>243840</xdr:colOff>
                    <xdr:row>37</xdr:row>
                    <xdr:rowOff>7620</xdr:rowOff>
                  </to>
                </anchor>
              </controlPr>
            </control>
          </mc:Choice>
        </mc:AlternateContent>
        <mc:AlternateContent xmlns:mc="http://schemas.openxmlformats.org/markup-compatibility/2006">
          <mc:Choice Requires="x14">
            <control shapeId="4128" r:id="rId35" name="Check Box 32">
              <controlPr defaultSize="0" autoFill="0" autoLine="0" autoPict="0">
                <anchor moveWithCells="1">
                  <from>
                    <xdr:col>5</xdr:col>
                    <xdr:colOff>0</xdr:colOff>
                    <xdr:row>36</xdr:row>
                    <xdr:rowOff>167640</xdr:rowOff>
                  </from>
                  <to>
                    <xdr:col>5</xdr:col>
                    <xdr:colOff>243840</xdr:colOff>
                    <xdr:row>38</xdr:row>
                    <xdr:rowOff>22860</xdr:rowOff>
                  </to>
                </anchor>
              </controlPr>
            </control>
          </mc:Choice>
        </mc:AlternateContent>
        <mc:AlternateContent xmlns:mc="http://schemas.openxmlformats.org/markup-compatibility/2006">
          <mc:Choice Requires="x14">
            <control shapeId="4129" r:id="rId36" name="Check Box 33">
              <controlPr defaultSize="0" autoFill="0" autoLine="0" autoPict="0">
                <anchor moveWithCells="1">
                  <from>
                    <xdr:col>5</xdr:col>
                    <xdr:colOff>0</xdr:colOff>
                    <xdr:row>37</xdr:row>
                    <xdr:rowOff>160020</xdr:rowOff>
                  </from>
                  <to>
                    <xdr:col>5</xdr:col>
                    <xdr:colOff>243840</xdr:colOff>
                    <xdr:row>39</xdr:row>
                    <xdr:rowOff>15240</xdr:rowOff>
                  </to>
                </anchor>
              </controlPr>
            </control>
          </mc:Choice>
        </mc:AlternateContent>
        <mc:AlternateContent xmlns:mc="http://schemas.openxmlformats.org/markup-compatibility/2006">
          <mc:Choice Requires="x14">
            <control shapeId="4130" r:id="rId37" name="Check Box 34">
              <controlPr defaultSize="0" autoFill="0" autoLine="0" autoPict="0">
                <anchor moveWithCells="1">
                  <from>
                    <xdr:col>5</xdr:col>
                    <xdr:colOff>0</xdr:colOff>
                    <xdr:row>38</xdr:row>
                    <xdr:rowOff>160020</xdr:rowOff>
                  </from>
                  <to>
                    <xdr:col>5</xdr:col>
                    <xdr:colOff>243840</xdr:colOff>
                    <xdr:row>40</xdr:row>
                    <xdr:rowOff>15240</xdr:rowOff>
                  </to>
                </anchor>
              </controlPr>
            </control>
          </mc:Choice>
        </mc:AlternateContent>
        <mc:AlternateContent xmlns:mc="http://schemas.openxmlformats.org/markup-compatibility/2006">
          <mc:Choice Requires="x14">
            <control shapeId="4131" r:id="rId38" name="Check Box 35">
              <controlPr defaultSize="0" autoFill="0" autoLine="0" autoPict="0">
                <anchor moveWithCells="1">
                  <from>
                    <xdr:col>5</xdr:col>
                    <xdr:colOff>0</xdr:colOff>
                    <xdr:row>39</xdr:row>
                    <xdr:rowOff>152400</xdr:rowOff>
                  </from>
                  <to>
                    <xdr:col>5</xdr:col>
                    <xdr:colOff>243840</xdr:colOff>
                    <xdr:row>41</xdr:row>
                    <xdr:rowOff>7620</xdr:rowOff>
                  </to>
                </anchor>
              </controlPr>
            </control>
          </mc:Choice>
        </mc:AlternateContent>
        <mc:AlternateContent xmlns:mc="http://schemas.openxmlformats.org/markup-compatibility/2006">
          <mc:Choice Requires="x14">
            <control shapeId="4132" r:id="rId39" name="Check Box 36">
              <controlPr defaultSize="0" autoFill="0" autoLine="0" autoPict="0">
                <anchor moveWithCells="1">
                  <from>
                    <xdr:col>5</xdr:col>
                    <xdr:colOff>0</xdr:colOff>
                    <xdr:row>40</xdr:row>
                    <xdr:rowOff>152400</xdr:rowOff>
                  </from>
                  <to>
                    <xdr:col>5</xdr:col>
                    <xdr:colOff>243840</xdr:colOff>
                    <xdr:row>42</xdr:row>
                    <xdr:rowOff>7620</xdr:rowOff>
                  </to>
                </anchor>
              </controlPr>
            </control>
          </mc:Choice>
        </mc:AlternateContent>
        <mc:AlternateContent xmlns:mc="http://schemas.openxmlformats.org/markup-compatibility/2006">
          <mc:Choice Requires="x14">
            <control shapeId="4133" r:id="rId40" name="Check Box 37">
              <controlPr defaultSize="0" autoFill="0" autoLine="0" autoPict="0">
                <anchor moveWithCells="1">
                  <from>
                    <xdr:col>5</xdr:col>
                    <xdr:colOff>7620</xdr:colOff>
                    <xdr:row>41</xdr:row>
                    <xdr:rowOff>160020</xdr:rowOff>
                  </from>
                  <to>
                    <xdr:col>5</xdr:col>
                    <xdr:colOff>251460</xdr:colOff>
                    <xdr:row>43</xdr:row>
                    <xdr:rowOff>15240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6B579D06-66D0-4260-BA62-1AA441954B05}">
          <x14:formula1>
            <xm:f>choices!$K$2:$K$44</xm:f>
          </x14:formula1>
          <xm:sqref>B16 E16 H20 B20 B24 B28 B32 E20 E24 E28 E32 H16 H24 H28 H32</xm:sqref>
        </x14:dataValidation>
        <x14:dataValidation type="list" allowBlank="1" showInputMessage="1" showErrorMessage="1" xr:uid="{E57F243A-2E9E-4093-9FE6-EF28C587A197}">
          <x14:formula1>
            <xm:f>choices!$M$2:$M$6</xm:f>
          </x14:formula1>
          <xm:sqref>C16 F16 I20 C20 C24 C28 C32 F20 F24 F28 F32 I16 I24 I28 I32</xm:sqref>
        </x14:dataValidation>
        <x14:dataValidation type="list" allowBlank="1" showInputMessage="1" showErrorMessage="1" xr:uid="{373C7717-0BFC-49E8-B05B-74B49A6E2C1E}">
          <x14:formula1>
            <xm:f>choices!$I$2:$I$15</xm:f>
          </x14:formula1>
          <xm:sqref>D4:F4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5893F-C512-4DDD-8163-215F4080FAB8}">
  <sheetPr codeName="Sheet5"/>
  <dimension ref="A1:L148"/>
  <sheetViews>
    <sheetView showGridLines="0" workbookViewId="0">
      <selection activeCell="H79" sqref="H79"/>
    </sheetView>
  </sheetViews>
  <sheetFormatPr defaultRowHeight="14.4" x14ac:dyDescent="0.3"/>
  <cols>
    <col min="1" max="1" width="3.109375" style="42" customWidth="1"/>
    <col min="2" max="2" width="12.77734375" style="43" customWidth="1"/>
    <col min="3" max="3" width="20.77734375" style="42" customWidth="1"/>
    <col min="4" max="4" width="5.44140625" style="42" bestFit="1" customWidth="1"/>
    <col min="5" max="5" width="12.77734375" style="42" customWidth="1"/>
    <col min="6" max="6" width="20.77734375" style="42" customWidth="1"/>
    <col min="7" max="7" width="5.44140625" style="42" bestFit="1" customWidth="1"/>
    <col min="8" max="8" width="12.77734375" style="42" customWidth="1"/>
    <col min="9" max="9" width="20.77734375" style="42" customWidth="1"/>
    <col min="10" max="10" width="2.6640625" style="42" customWidth="1"/>
    <col min="11" max="12" width="0" style="110" hidden="1" customWidth="1"/>
    <col min="13" max="16384" width="8.88671875" style="42"/>
  </cols>
  <sheetData>
    <row r="1" spans="1:12" ht="10.050000000000001" customHeight="1" thickBot="1" x14ac:dyDescent="0.35">
      <c r="A1" s="48"/>
      <c r="B1" s="49"/>
      <c r="C1" s="48"/>
      <c r="D1" s="48"/>
      <c r="E1" s="48"/>
      <c r="F1" s="48"/>
      <c r="G1" s="48"/>
      <c r="H1" s="48"/>
      <c r="I1" s="48"/>
      <c r="J1" s="50"/>
    </row>
    <row r="2" spans="1:12" ht="21" x14ac:dyDescent="0.4">
      <c r="A2" s="174" t="s">
        <v>274</v>
      </c>
      <c r="B2" s="175"/>
      <c r="C2" s="175"/>
      <c r="D2" s="175"/>
      <c r="E2" s="175"/>
      <c r="F2" s="175"/>
      <c r="G2" s="175"/>
      <c r="H2" s="175"/>
      <c r="I2" s="175"/>
      <c r="J2" s="51"/>
    </row>
    <row r="3" spans="1:12" ht="14.4" customHeight="1" thickBot="1" x14ac:dyDescent="0.45">
      <c r="A3" s="59"/>
      <c r="B3" s="60"/>
      <c r="C3" s="60"/>
      <c r="D3" s="117"/>
      <c r="E3" s="117"/>
      <c r="F3" s="117"/>
      <c r="G3" s="98"/>
      <c r="H3" s="221" t="s">
        <v>228</v>
      </c>
      <c r="I3" s="117"/>
      <c r="J3" s="52"/>
    </row>
    <row r="4" spans="1:12" ht="14.4" customHeight="1" thickBot="1" x14ac:dyDescent="0.35">
      <c r="A4" s="61"/>
      <c r="B4" s="223" t="s">
        <v>49</v>
      </c>
      <c r="C4" s="223"/>
      <c r="D4" s="224"/>
      <c r="E4" s="225"/>
      <c r="F4" s="226"/>
      <c r="G4" s="98"/>
      <c r="H4" s="221"/>
      <c r="I4" s="112"/>
      <c r="J4" s="52"/>
    </row>
    <row r="5" spans="1:12" ht="14.4" customHeight="1" thickBot="1" x14ac:dyDescent="0.35">
      <c r="A5" s="107"/>
      <c r="B5" s="118"/>
      <c r="C5" s="118"/>
      <c r="D5" s="119"/>
      <c r="E5" s="119"/>
      <c r="F5" s="119"/>
      <c r="G5" s="120"/>
      <c r="H5" s="222"/>
      <c r="I5" s="121"/>
      <c r="J5" s="103"/>
    </row>
    <row r="6" spans="1:12" ht="10.050000000000001" customHeight="1" thickBot="1" x14ac:dyDescent="0.35">
      <c r="A6" s="48"/>
      <c r="B6" s="49"/>
      <c r="C6" s="48"/>
      <c r="D6" s="48"/>
      <c r="E6" s="48"/>
      <c r="F6" s="48"/>
      <c r="G6" s="122"/>
      <c r="H6" s="122"/>
      <c r="I6" s="48"/>
      <c r="J6" s="50"/>
    </row>
    <row r="7" spans="1:12" ht="21" x14ac:dyDescent="0.4">
      <c r="A7" s="174" t="s">
        <v>273</v>
      </c>
      <c r="B7" s="175"/>
      <c r="C7" s="175"/>
      <c r="D7" s="175"/>
      <c r="E7" s="175"/>
      <c r="F7" s="175"/>
      <c r="G7" s="175"/>
      <c r="H7" s="175"/>
      <c r="I7" s="175"/>
      <c r="J7" s="51"/>
    </row>
    <row r="8" spans="1:12" ht="10.050000000000001" customHeight="1" thickBot="1" x14ac:dyDescent="0.45">
      <c r="A8" s="59"/>
      <c r="B8" s="60"/>
      <c r="C8" s="60"/>
      <c r="D8" s="60"/>
      <c r="E8" s="60"/>
      <c r="F8" s="60"/>
      <c r="G8" s="60"/>
      <c r="H8" s="60"/>
      <c r="I8" s="60"/>
      <c r="J8" s="52"/>
      <c r="K8" s="113"/>
    </row>
    <row r="9" spans="1:12" s="83" customFormat="1" ht="49.2" customHeight="1" thickBot="1" x14ac:dyDescent="0.35">
      <c r="A9" s="53"/>
      <c r="B9" s="227" t="s">
        <v>275</v>
      </c>
      <c r="C9" s="228"/>
      <c r="D9" s="228"/>
      <c r="E9" s="228"/>
      <c r="F9" s="228"/>
      <c r="G9" s="228"/>
      <c r="H9" s="228"/>
      <c r="I9" s="229"/>
      <c r="J9" s="82"/>
      <c r="K9" s="114"/>
      <c r="L9" s="111"/>
    </row>
    <row r="10" spans="1:12" ht="10.050000000000001" customHeight="1" x14ac:dyDescent="0.4">
      <c r="A10" s="59"/>
      <c r="B10" s="60"/>
      <c r="C10" s="60"/>
      <c r="D10" s="60"/>
      <c r="E10" s="60"/>
      <c r="F10" s="60"/>
      <c r="G10" s="60"/>
      <c r="H10" s="60"/>
      <c r="I10" s="60"/>
      <c r="J10" s="52"/>
      <c r="K10" s="113"/>
    </row>
    <row r="11" spans="1:12" ht="21" x14ac:dyDescent="0.4">
      <c r="A11" s="209" t="s">
        <v>230</v>
      </c>
      <c r="B11" s="210"/>
      <c r="C11" s="210"/>
      <c r="D11" s="210"/>
      <c r="E11" s="210"/>
      <c r="F11" s="210"/>
      <c r="G11" s="210"/>
      <c r="H11" s="210"/>
      <c r="I11" s="210"/>
      <c r="J11" s="52"/>
      <c r="K11" s="113"/>
    </row>
    <row r="12" spans="1:12" ht="10.050000000000001" customHeight="1" thickBot="1" x14ac:dyDescent="0.45">
      <c r="A12" s="59"/>
      <c r="B12" s="60"/>
      <c r="C12" s="117"/>
      <c r="D12" s="60"/>
      <c r="E12" s="60"/>
      <c r="F12" s="60"/>
      <c r="G12" s="60"/>
      <c r="H12" s="60"/>
      <c r="I12" s="60"/>
      <c r="J12" s="52"/>
    </row>
    <row r="13" spans="1:12" ht="66" customHeight="1" thickBot="1" x14ac:dyDescent="0.45">
      <c r="A13" s="59"/>
      <c r="B13" s="217" t="s">
        <v>277</v>
      </c>
      <c r="C13" s="218"/>
      <c r="D13" s="218"/>
      <c r="E13" s="218"/>
      <c r="F13" s="218"/>
      <c r="G13" s="218"/>
      <c r="H13" s="218"/>
      <c r="I13" s="219"/>
      <c r="J13" s="52"/>
    </row>
    <row r="14" spans="1:12" x14ac:dyDescent="0.3">
      <c r="A14" s="53"/>
      <c r="B14" s="104" t="s">
        <v>68</v>
      </c>
      <c r="C14" s="54" t="s">
        <v>69</v>
      </c>
      <c r="D14" s="55"/>
      <c r="E14" s="104" t="s">
        <v>68</v>
      </c>
      <c r="F14" s="54" t="s">
        <v>69</v>
      </c>
      <c r="G14" s="55"/>
      <c r="H14" s="104" t="s">
        <v>68</v>
      </c>
      <c r="I14" s="54" t="s">
        <v>69</v>
      </c>
      <c r="J14" s="52"/>
    </row>
    <row r="15" spans="1:12" ht="10.050000000000001" customHeight="1" thickBot="1" x14ac:dyDescent="0.35">
      <c r="A15" s="53"/>
      <c r="B15" s="56"/>
      <c r="C15" s="57"/>
      <c r="D15" s="58"/>
      <c r="E15" s="56"/>
      <c r="F15" s="57"/>
      <c r="G15" s="58"/>
      <c r="H15" s="56"/>
      <c r="I15" s="57"/>
      <c r="J15" s="52"/>
    </row>
    <row r="16" spans="1:12" ht="15" thickBot="1" x14ac:dyDescent="0.35">
      <c r="A16" s="53"/>
      <c r="B16" s="30"/>
      <c r="C16" s="31"/>
      <c r="D16" s="55" t="s">
        <v>71</v>
      </c>
      <c r="E16" s="30"/>
      <c r="F16" s="31"/>
      <c r="G16" s="55" t="s">
        <v>71</v>
      </c>
      <c r="H16" s="30"/>
      <c r="I16" s="31"/>
      <c r="J16" s="52"/>
    </row>
    <row r="17" spans="1:10" ht="10.050000000000001" customHeight="1" x14ac:dyDescent="0.3">
      <c r="A17" s="53"/>
      <c r="B17" s="56"/>
      <c r="C17" s="27" t="e">
        <f>VLOOKUP(C16, choices!$M$2:$N$6, 2, 0)</f>
        <v>#N/A</v>
      </c>
      <c r="D17" s="55"/>
      <c r="E17" s="56"/>
      <c r="F17" s="27" t="e">
        <f>VLOOKUP(F16, choices!$M$2:$N$6, 2, 0)</f>
        <v>#N/A</v>
      </c>
      <c r="G17" s="55"/>
      <c r="H17" s="56"/>
      <c r="I17" s="27" t="e">
        <f>VLOOKUP(I16, choices!$M$2:$N$6, 2, 0)</f>
        <v>#N/A</v>
      </c>
      <c r="J17" s="52"/>
    </row>
    <row r="18" spans="1:10" x14ac:dyDescent="0.3">
      <c r="A18" s="53"/>
      <c r="B18" s="56"/>
      <c r="C18" s="57"/>
      <c r="D18" s="55"/>
      <c r="E18" s="220" t="s">
        <v>70</v>
      </c>
      <c r="F18" s="220"/>
      <c r="G18" s="55"/>
      <c r="H18" s="56"/>
      <c r="I18" s="57"/>
      <c r="J18" s="52"/>
    </row>
    <row r="19" spans="1:10" ht="10.050000000000001" customHeight="1" thickBot="1" x14ac:dyDescent="0.35">
      <c r="A19" s="53"/>
      <c r="B19" s="56"/>
      <c r="C19" s="57"/>
      <c r="D19" s="55"/>
      <c r="E19" s="56"/>
      <c r="F19" s="57"/>
      <c r="G19" s="55"/>
      <c r="H19" s="56"/>
      <c r="I19" s="57"/>
      <c r="J19" s="52"/>
    </row>
    <row r="20" spans="1:10" ht="15" thickBot="1" x14ac:dyDescent="0.35">
      <c r="A20" s="53"/>
      <c r="B20" s="30"/>
      <c r="C20" s="31"/>
      <c r="D20" s="55" t="s">
        <v>71</v>
      </c>
      <c r="E20" s="30"/>
      <c r="F20" s="31"/>
      <c r="G20" s="55" t="s">
        <v>71</v>
      </c>
      <c r="H20" s="30"/>
      <c r="I20" s="31"/>
      <c r="J20" s="52"/>
    </row>
    <row r="21" spans="1:10" ht="10.050000000000001" customHeight="1" x14ac:dyDescent="0.3">
      <c r="A21" s="53"/>
      <c r="B21" s="56"/>
      <c r="C21" s="27" t="e">
        <f>VLOOKUP(C20, choices!$M$2:$N$6, 2, 0)</f>
        <v>#N/A</v>
      </c>
      <c r="D21" s="55"/>
      <c r="E21" s="56"/>
      <c r="F21" s="27" t="e">
        <f>VLOOKUP(F20, choices!$M$2:$N$6, 2, 0)</f>
        <v>#N/A</v>
      </c>
      <c r="G21" s="55"/>
      <c r="H21" s="56"/>
      <c r="I21" s="27" t="e">
        <f>VLOOKUP(I20, choices!$M$2:$N$6, 2, 0)</f>
        <v>#N/A</v>
      </c>
      <c r="J21" s="52"/>
    </row>
    <row r="22" spans="1:10" x14ac:dyDescent="0.3">
      <c r="A22" s="53"/>
      <c r="B22" s="56"/>
      <c r="C22" s="57"/>
      <c r="D22" s="55"/>
      <c r="E22" s="220" t="s">
        <v>70</v>
      </c>
      <c r="F22" s="220"/>
      <c r="G22" s="55"/>
      <c r="H22" s="56"/>
      <c r="I22" s="57"/>
      <c r="J22" s="52"/>
    </row>
    <row r="23" spans="1:10" ht="10.050000000000001" customHeight="1" thickBot="1" x14ac:dyDescent="0.35">
      <c r="A23" s="53"/>
      <c r="B23" s="56"/>
      <c r="C23" s="57"/>
      <c r="D23" s="55"/>
      <c r="E23" s="56"/>
      <c r="F23" s="57"/>
      <c r="G23" s="55"/>
      <c r="H23" s="56"/>
      <c r="I23" s="57"/>
      <c r="J23" s="52"/>
    </row>
    <row r="24" spans="1:10" ht="15" thickBot="1" x14ac:dyDescent="0.35">
      <c r="A24" s="53"/>
      <c r="B24" s="30"/>
      <c r="C24" s="31"/>
      <c r="D24" s="55" t="s">
        <v>71</v>
      </c>
      <c r="E24" s="30"/>
      <c r="F24" s="31"/>
      <c r="G24" s="55" t="s">
        <v>71</v>
      </c>
      <c r="H24" s="30"/>
      <c r="I24" s="31"/>
      <c r="J24" s="52"/>
    </row>
    <row r="25" spans="1:10" ht="10.050000000000001" customHeight="1" x14ac:dyDescent="0.3">
      <c r="A25" s="53"/>
      <c r="B25" s="56"/>
      <c r="C25" s="27" t="e">
        <f>VLOOKUP(C24, choices!$M$2:$N$6, 2, 0)</f>
        <v>#N/A</v>
      </c>
      <c r="D25" s="55"/>
      <c r="E25" s="56"/>
      <c r="F25" s="27" t="e">
        <f>VLOOKUP(F24, choices!$M$2:$N$6, 2, 0)</f>
        <v>#N/A</v>
      </c>
      <c r="G25" s="55"/>
      <c r="H25" s="56"/>
      <c r="I25" s="27" t="e">
        <f>VLOOKUP(I24, choices!$M$2:$N$6, 2, 0)</f>
        <v>#N/A</v>
      </c>
      <c r="J25" s="52"/>
    </row>
    <row r="26" spans="1:10" x14ac:dyDescent="0.3">
      <c r="A26" s="53"/>
      <c r="B26" s="56"/>
      <c r="C26" s="57"/>
      <c r="D26" s="55"/>
      <c r="E26" s="220" t="s">
        <v>70</v>
      </c>
      <c r="F26" s="220"/>
      <c r="G26" s="55"/>
      <c r="H26" s="56"/>
      <c r="I26" s="57"/>
      <c r="J26" s="52"/>
    </row>
    <row r="27" spans="1:10" ht="10.050000000000001" customHeight="1" thickBot="1" x14ac:dyDescent="0.35">
      <c r="A27" s="53"/>
      <c r="B27" s="56"/>
      <c r="C27" s="57"/>
      <c r="D27" s="55"/>
      <c r="E27" s="56"/>
      <c r="F27" s="57"/>
      <c r="G27" s="55"/>
      <c r="H27" s="56"/>
      <c r="I27" s="57"/>
      <c r="J27" s="52"/>
    </row>
    <row r="28" spans="1:10" ht="15" thickBot="1" x14ac:dyDescent="0.35">
      <c r="A28" s="53"/>
      <c r="B28" s="30"/>
      <c r="C28" s="31"/>
      <c r="D28" s="55" t="s">
        <v>71</v>
      </c>
      <c r="E28" s="30"/>
      <c r="F28" s="31"/>
      <c r="G28" s="55" t="s">
        <v>71</v>
      </c>
      <c r="H28" s="30"/>
      <c r="I28" s="31"/>
      <c r="J28" s="52"/>
    </row>
    <row r="29" spans="1:10" ht="10.050000000000001" customHeight="1" x14ac:dyDescent="0.3">
      <c r="A29" s="53"/>
      <c r="B29" s="56"/>
      <c r="C29" s="27" t="e">
        <f>VLOOKUP(C28, choices!$M$2:$N$6, 2, 0)</f>
        <v>#N/A</v>
      </c>
      <c r="D29" s="55"/>
      <c r="E29" s="56"/>
      <c r="F29" s="27" t="e">
        <f>VLOOKUP(F28, choices!$M$2:$N$6, 2, 0)</f>
        <v>#N/A</v>
      </c>
      <c r="G29" s="55"/>
      <c r="H29" s="56"/>
      <c r="I29" s="27" t="e">
        <f>VLOOKUP(I28, choices!$M$2:$N$6, 2, 0)</f>
        <v>#N/A</v>
      </c>
      <c r="J29" s="52"/>
    </row>
    <row r="30" spans="1:10" x14ac:dyDescent="0.3">
      <c r="A30" s="53"/>
      <c r="B30" s="56"/>
      <c r="C30" s="57"/>
      <c r="D30" s="55"/>
      <c r="E30" s="220" t="s">
        <v>70</v>
      </c>
      <c r="F30" s="220"/>
      <c r="G30" s="55"/>
      <c r="H30" s="56"/>
      <c r="I30" s="57"/>
      <c r="J30" s="52"/>
    </row>
    <row r="31" spans="1:10" ht="10.050000000000001" customHeight="1" thickBot="1" x14ac:dyDescent="0.35">
      <c r="A31" s="53"/>
      <c r="B31" s="56"/>
      <c r="C31" s="57"/>
      <c r="D31" s="55"/>
      <c r="E31" s="56"/>
      <c r="F31" s="57"/>
      <c r="G31" s="55"/>
      <c r="H31" s="56"/>
      <c r="I31" s="57"/>
      <c r="J31" s="52"/>
    </row>
    <row r="32" spans="1:10" ht="15" thickBot="1" x14ac:dyDescent="0.35">
      <c r="A32" s="53"/>
      <c r="B32" s="30"/>
      <c r="C32" s="31"/>
      <c r="D32" s="55" t="s">
        <v>71</v>
      </c>
      <c r="E32" s="30"/>
      <c r="F32" s="31"/>
      <c r="G32" s="55" t="s">
        <v>71</v>
      </c>
      <c r="H32" s="30"/>
      <c r="I32" s="31"/>
      <c r="J32" s="52"/>
    </row>
    <row r="33" spans="1:12" ht="10.050000000000001" customHeight="1" x14ac:dyDescent="0.3">
      <c r="A33" s="53"/>
      <c r="B33" s="56"/>
      <c r="C33" s="27" t="e">
        <f>VLOOKUP(C32, choices!$M$2:$N$6, 2, 0)</f>
        <v>#N/A</v>
      </c>
      <c r="D33" s="58"/>
      <c r="E33" s="56"/>
      <c r="F33" s="27" t="e">
        <f>VLOOKUP(F32, choices!$M$2:$N$6, 2, 0)</f>
        <v>#N/A</v>
      </c>
      <c r="G33" s="58"/>
      <c r="H33" s="56"/>
      <c r="I33" s="27" t="e">
        <f>VLOOKUP(I32, choices!$M$2:$N$6, 2, 0)</f>
        <v>#N/A</v>
      </c>
      <c r="J33" s="52"/>
    </row>
    <row r="34" spans="1:12" ht="21" x14ac:dyDescent="0.4">
      <c r="A34" s="209" t="s">
        <v>231</v>
      </c>
      <c r="B34" s="210"/>
      <c r="C34" s="210"/>
      <c r="D34" s="210"/>
      <c r="E34" s="210"/>
      <c r="F34" s="210"/>
      <c r="G34" s="210"/>
      <c r="H34" s="210"/>
      <c r="I34" s="210"/>
      <c r="J34" s="52"/>
    </row>
    <row r="35" spans="1:12" ht="10.050000000000001" customHeight="1" thickBot="1" x14ac:dyDescent="0.35">
      <c r="A35" s="61"/>
      <c r="B35" s="62"/>
      <c r="C35" s="57"/>
      <c r="D35" s="57"/>
      <c r="E35" s="57"/>
      <c r="F35" s="57"/>
      <c r="G35" s="57"/>
      <c r="H35" s="57"/>
      <c r="I35" s="57"/>
      <c r="J35" s="52"/>
    </row>
    <row r="36" spans="1:12" ht="14.4" customHeight="1" x14ac:dyDescent="0.3">
      <c r="A36" s="61"/>
      <c r="B36" s="181" t="s">
        <v>263</v>
      </c>
      <c r="C36" s="211"/>
      <c r="D36" s="211"/>
      <c r="E36" s="212"/>
      <c r="F36" s="63" t="s">
        <v>202</v>
      </c>
      <c r="G36" s="27"/>
      <c r="H36" s="104" t="s">
        <v>211</v>
      </c>
      <c r="I36" s="64" t="s">
        <v>209</v>
      </c>
      <c r="J36" s="123"/>
      <c r="K36" s="115" t="b">
        <v>0</v>
      </c>
      <c r="L36" s="116" t="b">
        <v>0</v>
      </c>
    </row>
    <row r="37" spans="1:12" ht="14.4" customHeight="1" thickBot="1" x14ac:dyDescent="0.35">
      <c r="A37" s="61"/>
      <c r="B37" s="183"/>
      <c r="C37" s="213"/>
      <c r="D37" s="213"/>
      <c r="E37" s="214"/>
      <c r="F37" s="65" t="s">
        <v>213</v>
      </c>
      <c r="G37" s="27"/>
      <c r="H37" s="104" t="s">
        <v>212</v>
      </c>
      <c r="I37" s="66" t="s">
        <v>210</v>
      </c>
      <c r="J37" s="123"/>
      <c r="K37" s="116" t="b">
        <v>0</v>
      </c>
      <c r="L37" s="116" t="b">
        <v>0</v>
      </c>
    </row>
    <row r="38" spans="1:12" ht="14.4" customHeight="1" x14ac:dyDescent="0.3">
      <c r="A38" s="61"/>
      <c r="B38" s="183"/>
      <c r="C38" s="213"/>
      <c r="D38" s="213"/>
      <c r="E38" s="214"/>
      <c r="F38" s="65" t="s">
        <v>203</v>
      </c>
      <c r="G38" s="27"/>
      <c r="H38" s="57"/>
      <c r="I38" s="57"/>
      <c r="J38" s="52"/>
      <c r="K38" s="116" t="b">
        <v>0</v>
      </c>
      <c r="L38" s="116"/>
    </row>
    <row r="39" spans="1:12" ht="14.4" customHeight="1" x14ac:dyDescent="0.3">
      <c r="A39" s="61"/>
      <c r="B39" s="183"/>
      <c r="C39" s="213"/>
      <c r="D39" s="213"/>
      <c r="E39" s="214"/>
      <c r="F39" s="65" t="s">
        <v>204</v>
      </c>
      <c r="G39" s="27"/>
      <c r="H39" s="57"/>
      <c r="I39" s="57"/>
      <c r="J39" s="52"/>
      <c r="K39" s="116" t="b">
        <v>0</v>
      </c>
      <c r="L39" s="116"/>
    </row>
    <row r="40" spans="1:12" ht="14.4" customHeight="1" x14ac:dyDescent="0.3">
      <c r="A40" s="61"/>
      <c r="B40" s="183"/>
      <c r="C40" s="213"/>
      <c r="D40" s="213"/>
      <c r="E40" s="214"/>
      <c r="F40" s="65" t="s">
        <v>205</v>
      </c>
      <c r="G40" s="27"/>
      <c r="H40" s="57"/>
      <c r="I40" s="57"/>
      <c r="J40" s="52"/>
      <c r="K40" s="116" t="b">
        <v>0</v>
      </c>
      <c r="L40" s="116"/>
    </row>
    <row r="41" spans="1:12" ht="14.4" customHeight="1" x14ac:dyDescent="0.3">
      <c r="A41" s="61"/>
      <c r="B41" s="183"/>
      <c r="C41" s="213"/>
      <c r="D41" s="213"/>
      <c r="E41" s="214"/>
      <c r="F41" s="65" t="s">
        <v>206</v>
      </c>
      <c r="G41" s="27"/>
      <c r="H41" s="57"/>
      <c r="I41" s="57"/>
      <c r="J41" s="52"/>
      <c r="K41" s="116" t="b">
        <v>0</v>
      </c>
      <c r="L41" s="116"/>
    </row>
    <row r="42" spans="1:12" ht="14.4" customHeight="1" x14ac:dyDescent="0.3">
      <c r="A42" s="61"/>
      <c r="B42" s="183"/>
      <c r="C42" s="213"/>
      <c r="D42" s="213"/>
      <c r="E42" s="214"/>
      <c r="F42" s="65" t="s">
        <v>207</v>
      </c>
      <c r="G42" s="27"/>
      <c r="H42" s="57"/>
      <c r="I42" s="57"/>
      <c r="J42" s="52"/>
      <c r="K42" s="116" t="b">
        <v>0</v>
      </c>
      <c r="L42" s="116"/>
    </row>
    <row r="43" spans="1:12" ht="14.4" customHeight="1" thickBot="1" x14ac:dyDescent="0.35">
      <c r="A43" s="61"/>
      <c r="B43" s="185"/>
      <c r="C43" s="215"/>
      <c r="D43" s="215"/>
      <c r="E43" s="216"/>
      <c r="F43" s="67" t="s">
        <v>208</v>
      </c>
      <c r="G43" s="27"/>
      <c r="H43" s="57"/>
      <c r="I43" s="57"/>
      <c r="J43" s="52"/>
      <c r="K43" s="116" t="b">
        <v>0</v>
      </c>
      <c r="L43" s="116"/>
    </row>
    <row r="44" spans="1:12" ht="10.050000000000001" customHeight="1" x14ac:dyDescent="0.3">
      <c r="A44" s="61"/>
      <c r="B44" s="68"/>
      <c r="C44" s="68"/>
      <c r="D44" s="57"/>
      <c r="E44" s="57"/>
      <c r="F44" s="57"/>
      <c r="G44" s="57"/>
      <c r="H44" s="57"/>
      <c r="I44" s="57"/>
      <c r="J44" s="52"/>
      <c r="K44" s="116"/>
      <c r="L44" s="116"/>
    </row>
    <row r="45" spans="1:12" ht="21" x14ac:dyDescent="0.4">
      <c r="A45" s="209" t="s">
        <v>232</v>
      </c>
      <c r="B45" s="210"/>
      <c r="C45" s="210"/>
      <c r="D45" s="210"/>
      <c r="E45" s="210"/>
      <c r="F45" s="210"/>
      <c r="G45" s="210"/>
      <c r="H45" s="210"/>
      <c r="I45" s="210"/>
      <c r="J45" s="52"/>
    </row>
    <row r="46" spans="1:12" ht="10.050000000000001" customHeight="1" thickBot="1" x14ac:dyDescent="0.35">
      <c r="A46" s="61"/>
      <c r="B46" s="62"/>
      <c r="C46" s="57"/>
      <c r="D46" s="57"/>
      <c r="E46" s="57"/>
      <c r="F46" s="57"/>
      <c r="G46" s="57"/>
      <c r="H46" s="57"/>
      <c r="I46" s="57"/>
      <c r="J46" s="52"/>
    </row>
    <row r="47" spans="1:12" ht="14.4" customHeight="1" x14ac:dyDescent="0.3">
      <c r="A47" s="61"/>
      <c r="B47" s="181" t="s">
        <v>264</v>
      </c>
      <c r="C47" s="182"/>
      <c r="D47" s="27"/>
      <c r="E47" s="69" t="s">
        <v>214</v>
      </c>
      <c r="F47" s="70"/>
      <c r="G47" s="124"/>
      <c r="H47" s="69" t="s">
        <v>222</v>
      </c>
      <c r="I47" s="70"/>
      <c r="J47" s="52"/>
      <c r="K47" s="110" t="b">
        <v>0</v>
      </c>
      <c r="L47" s="110" t="b">
        <v>0</v>
      </c>
    </row>
    <row r="48" spans="1:12" x14ac:dyDescent="0.3">
      <c r="A48" s="61"/>
      <c r="B48" s="183"/>
      <c r="C48" s="184"/>
      <c r="D48" s="27"/>
      <c r="E48" s="71" t="s">
        <v>215</v>
      </c>
      <c r="F48" s="72"/>
      <c r="G48" s="124"/>
      <c r="H48" s="71" t="s">
        <v>223</v>
      </c>
      <c r="I48" s="72"/>
      <c r="J48" s="52"/>
      <c r="K48" s="110" t="b">
        <v>0</v>
      </c>
      <c r="L48" s="110" t="b">
        <v>0</v>
      </c>
    </row>
    <row r="49" spans="1:12" x14ac:dyDescent="0.3">
      <c r="A49" s="61"/>
      <c r="B49" s="183"/>
      <c r="C49" s="184"/>
      <c r="D49" s="27"/>
      <c r="E49" s="71" t="s">
        <v>216</v>
      </c>
      <c r="F49" s="72"/>
      <c r="G49" s="124"/>
      <c r="H49" s="71" t="s">
        <v>224</v>
      </c>
      <c r="I49" s="72"/>
      <c r="J49" s="52"/>
      <c r="K49" s="110" t="b">
        <v>0</v>
      </c>
      <c r="L49" s="110" t="b">
        <v>0</v>
      </c>
    </row>
    <row r="50" spans="1:12" x14ac:dyDescent="0.3">
      <c r="A50" s="61"/>
      <c r="B50" s="183"/>
      <c r="C50" s="184"/>
      <c r="D50" s="27"/>
      <c r="E50" s="71" t="s">
        <v>217</v>
      </c>
      <c r="F50" s="72"/>
      <c r="G50" s="124"/>
      <c r="H50" s="73" t="s">
        <v>225</v>
      </c>
      <c r="I50" s="74"/>
      <c r="J50" s="52"/>
      <c r="K50" s="110" t="b">
        <v>0</v>
      </c>
      <c r="L50" s="110" t="b">
        <v>0</v>
      </c>
    </row>
    <row r="51" spans="1:12" x14ac:dyDescent="0.3">
      <c r="A51" s="61"/>
      <c r="B51" s="183"/>
      <c r="C51" s="184"/>
      <c r="D51" s="27"/>
      <c r="E51" s="71" t="s">
        <v>218</v>
      </c>
      <c r="F51" s="72"/>
      <c r="G51" s="124"/>
      <c r="H51" s="71" t="s">
        <v>226</v>
      </c>
      <c r="I51" s="72"/>
      <c r="J51" s="52"/>
      <c r="K51" s="110" t="b">
        <v>0</v>
      </c>
      <c r="L51" s="110" t="b">
        <v>0</v>
      </c>
    </row>
    <row r="52" spans="1:12" ht="15" thickBot="1" x14ac:dyDescent="0.35">
      <c r="A52" s="61"/>
      <c r="B52" s="183"/>
      <c r="C52" s="184"/>
      <c r="D52" s="27"/>
      <c r="E52" s="71" t="s">
        <v>219</v>
      </c>
      <c r="F52" s="72"/>
      <c r="G52" s="124"/>
      <c r="H52" s="75" t="s">
        <v>227</v>
      </c>
      <c r="I52" s="76"/>
      <c r="J52" s="52"/>
      <c r="K52" s="110" t="b">
        <v>0</v>
      </c>
      <c r="L52" s="110" t="b">
        <v>0</v>
      </c>
    </row>
    <row r="53" spans="1:12" x14ac:dyDescent="0.3">
      <c r="A53" s="61"/>
      <c r="B53" s="183"/>
      <c r="C53" s="184"/>
      <c r="D53" s="27"/>
      <c r="E53" s="71" t="s">
        <v>220</v>
      </c>
      <c r="F53" s="72"/>
      <c r="G53" s="77"/>
      <c r="H53" s="77"/>
      <c r="I53" s="77"/>
      <c r="J53" s="52"/>
      <c r="K53" s="110" t="b">
        <v>0</v>
      </c>
    </row>
    <row r="54" spans="1:12" ht="15" thickBot="1" x14ac:dyDescent="0.35">
      <c r="A54" s="61"/>
      <c r="B54" s="185"/>
      <c r="C54" s="186"/>
      <c r="D54" s="27" t="b">
        <v>0</v>
      </c>
      <c r="E54" s="75" t="s">
        <v>221</v>
      </c>
      <c r="F54" s="76"/>
      <c r="G54" s="77"/>
      <c r="H54" s="77"/>
      <c r="I54" s="77"/>
      <c r="J54" s="52"/>
      <c r="K54" s="110" t="b">
        <v>0</v>
      </c>
    </row>
    <row r="55" spans="1:12" ht="10.050000000000001" customHeight="1" x14ac:dyDescent="0.3">
      <c r="A55" s="61"/>
      <c r="B55" s="62"/>
      <c r="C55" s="57"/>
      <c r="D55" s="57"/>
      <c r="E55" s="57"/>
      <c r="F55" s="57"/>
      <c r="G55" s="57"/>
      <c r="H55" s="57"/>
      <c r="I55" s="57"/>
      <c r="J55" s="52"/>
    </row>
    <row r="56" spans="1:12" ht="21" customHeight="1" x14ac:dyDescent="0.4">
      <c r="A56" s="188" t="s">
        <v>233</v>
      </c>
      <c r="B56" s="189"/>
      <c r="C56" s="189"/>
      <c r="D56" s="189"/>
      <c r="E56" s="189"/>
      <c r="F56" s="189"/>
      <c r="G56" s="189"/>
      <c r="H56" s="189"/>
      <c r="I56" s="189"/>
      <c r="J56" s="52"/>
    </row>
    <row r="57" spans="1:12" ht="10.050000000000001" customHeight="1" x14ac:dyDescent="0.4">
      <c r="A57" s="78"/>
      <c r="B57" s="79"/>
      <c r="C57" s="79"/>
      <c r="D57" s="79"/>
      <c r="E57" s="79"/>
      <c r="F57" s="79"/>
      <c r="G57" s="79"/>
      <c r="H57" s="79"/>
      <c r="I57" s="79"/>
      <c r="J57" s="52"/>
    </row>
    <row r="58" spans="1:12" s="83" customFormat="1" ht="14.4" customHeight="1" thickBot="1" x14ac:dyDescent="0.35">
      <c r="A58" s="80"/>
      <c r="B58" s="81"/>
      <c r="C58" s="81"/>
      <c r="D58" s="81"/>
      <c r="E58" s="81" t="s">
        <v>234</v>
      </c>
      <c r="F58" s="81" t="s">
        <v>235</v>
      </c>
      <c r="G58" s="81"/>
      <c r="H58" s="81" t="s">
        <v>234</v>
      </c>
      <c r="I58" s="81" t="s">
        <v>235</v>
      </c>
      <c r="J58" s="82"/>
      <c r="K58" s="111"/>
      <c r="L58" s="111"/>
    </row>
    <row r="59" spans="1:12" ht="14.4" customHeight="1" x14ac:dyDescent="0.3">
      <c r="A59" s="84"/>
      <c r="B59" s="193" t="s">
        <v>265</v>
      </c>
      <c r="C59" s="199"/>
      <c r="D59" s="85">
        <v>1</v>
      </c>
      <c r="E59" s="39"/>
      <c r="F59" s="40"/>
      <c r="G59" s="85">
        <v>6</v>
      </c>
      <c r="H59" s="39"/>
      <c r="I59" s="40"/>
      <c r="J59" s="52"/>
    </row>
    <row r="60" spans="1:12" ht="14.4" customHeight="1" x14ac:dyDescent="0.3">
      <c r="A60" s="84"/>
      <c r="B60" s="200"/>
      <c r="C60" s="201"/>
      <c r="D60" s="85">
        <v>2</v>
      </c>
      <c r="E60" s="36"/>
      <c r="F60" s="34"/>
      <c r="G60" s="85">
        <v>7</v>
      </c>
      <c r="H60" s="36"/>
      <c r="I60" s="34"/>
      <c r="J60" s="52"/>
    </row>
    <row r="61" spans="1:12" ht="14.4" customHeight="1" x14ac:dyDescent="0.3">
      <c r="A61" s="84"/>
      <c r="B61" s="200"/>
      <c r="C61" s="201"/>
      <c r="D61" s="85">
        <v>3</v>
      </c>
      <c r="E61" s="36"/>
      <c r="F61" s="34"/>
      <c r="G61" s="85">
        <v>8</v>
      </c>
      <c r="H61" s="36"/>
      <c r="I61" s="34"/>
      <c r="J61" s="52"/>
    </row>
    <row r="62" spans="1:12" ht="14.4" customHeight="1" x14ac:dyDescent="0.3">
      <c r="A62" s="84"/>
      <c r="B62" s="200"/>
      <c r="C62" s="201"/>
      <c r="D62" s="85">
        <v>4</v>
      </c>
      <c r="E62" s="36"/>
      <c r="F62" s="34"/>
      <c r="G62" s="85">
        <v>9</v>
      </c>
      <c r="H62" s="36"/>
      <c r="I62" s="34"/>
      <c r="J62" s="52"/>
    </row>
    <row r="63" spans="1:12" ht="14.4" customHeight="1" thickBot="1" x14ac:dyDescent="0.35">
      <c r="A63" s="84"/>
      <c r="B63" s="202"/>
      <c r="C63" s="203"/>
      <c r="D63" s="85">
        <v>5</v>
      </c>
      <c r="E63" s="37"/>
      <c r="F63" s="35"/>
      <c r="G63" s="85">
        <v>10</v>
      </c>
      <c r="H63" s="37"/>
      <c r="I63" s="35"/>
      <c r="J63" s="52"/>
    </row>
    <row r="64" spans="1:12" ht="10.050000000000001" customHeight="1" x14ac:dyDescent="0.3">
      <c r="A64" s="86"/>
      <c r="B64" s="87"/>
      <c r="C64" s="87"/>
      <c r="D64" s="87"/>
      <c r="E64" s="87"/>
      <c r="F64" s="87"/>
      <c r="G64" s="87"/>
      <c r="H64" s="87"/>
      <c r="I64" s="87"/>
      <c r="J64" s="52"/>
    </row>
    <row r="65" spans="1:12" ht="21" customHeight="1" x14ac:dyDescent="0.4">
      <c r="A65" s="188" t="s">
        <v>260</v>
      </c>
      <c r="B65" s="189"/>
      <c r="C65" s="189"/>
      <c r="D65" s="189"/>
      <c r="E65" s="189"/>
      <c r="F65" s="189"/>
      <c r="G65" s="189"/>
      <c r="H65" s="189"/>
      <c r="I65" s="189"/>
      <c r="J65" s="52"/>
    </row>
    <row r="66" spans="1:12" ht="10.050000000000001" customHeight="1" x14ac:dyDescent="0.4">
      <c r="A66" s="78"/>
      <c r="B66" s="79"/>
      <c r="C66" s="79"/>
      <c r="D66" s="79"/>
      <c r="E66" s="79"/>
      <c r="F66" s="79"/>
      <c r="G66" s="79"/>
      <c r="H66" s="79"/>
      <c r="I66" s="79"/>
      <c r="J66" s="52"/>
    </row>
    <row r="67" spans="1:12" s="83" customFormat="1" ht="14.4" customHeight="1" thickBot="1" x14ac:dyDescent="0.35">
      <c r="A67" s="80"/>
      <c r="B67" s="81"/>
      <c r="C67" s="81"/>
      <c r="D67" s="81"/>
      <c r="E67" s="81" t="s">
        <v>234</v>
      </c>
      <c r="F67" s="81" t="s">
        <v>235</v>
      </c>
      <c r="G67" s="81"/>
      <c r="H67" s="81" t="s">
        <v>234</v>
      </c>
      <c r="I67" s="81" t="s">
        <v>235</v>
      </c>
      <c r="J67" s="82"/>
      <c r="K67" s="111"/>
      <c r="L67" s="111"/>
    </row>
    <row r="68" spans="1:12" ht="14.4" customHeight="1" x14ac:dyDescent="0.3">
      <c r="A68" s="84"/>
      <c r="B68" s="193" t="s">
        <v>266</v>
      </c>
      <c r="C68" s="199"/>
      <c r="D68" s="85">
        <v>1</v>
      </c>
      <c r="E68" s="39"/>
      <c r="F68" s="40"/>
      <c r="G68" s="85">
        <v>6</v>
      </c>
      <c r="H68" s="39"/>
      <c r="I68" s="40"/>
      <c r="J68" s="52"/>
    </row>
    <row r="69" spans="1:12" ht="14.4" customHeight="1" x14ac:dyDescent="0.3">
      <c r="A69" s="84"/>
      <c r="B69" s="200"/>
      <c r="C69" s="201"/>
      <c r="D69" s="85">
        <v>2</v>
      </c>
      <c r="E69" s="36"/>
      <c r="F69" s="34"/>
      <c r="G69" s="85">
        <v>7</v>
      </c>
      <c r="H69" s="36"/>
      <c r="I69" s="34"/>
      <c r="J69" s="52"/>
    </row>
    <row r="70" spans="1:12" ht="14.4" customHeight="1" x14ac:dyDescent="0.3">
      <c r="A70" s="84"/>
      <c r="B70" s="200"/>
      <c r="C70" s="201"/>
      <c r="D70" s="85">
        <v>3</v>
      </c>
      <c r="E70" s="36"/>
      <c r="F70" s="34"/>
      <c r="G70" s="85">
        <v>8</v>
      </c>
      <c r="H70" s="36"/>
      <c r="I70" s="34"/>
      <c r="J70" s="52"/>
    </row>
    <row r="71" spans="1:12" ht="14.4" customHeight="1" x14ac:dyDescent="0.3">
      <c r="A71" s="84"/>
      <c r="B71" s="200"/>
      <c r="C71" s="201"/>
      <c r="D71" s="85">
        <v>4</v>
      </c>
      <c r="E71" s="36"/>
      <c r="F71" s="34"/>
      <c r="G71" s="85">
        <v>9</v>
      </c>
      <c r="H71" s="36"/>
      <c r="I71" s="34"/>
      <c r="J71" s="52"/>
    </row>
    <row r="72" spans="1:12" ht="14.4" customHeight="1" thickBot="1" x14ac:dyDescent="0.35">
      <c r="A72" s="84"/>
      <c r="B72" s="202"/>
      <c r="C72" s="203"/>
      <c r="D72" s="85">
        <v>5</v>
      </c>
      <c r="E72" s="37"/>
      <c r="F72" s="35"/>
      <c r="G72" s="85">
        <v>10</v>
      </c>
      <c r="H72" s="37"/>
      <c r="I72" s="35"/>
      <c r="J72" s="52"/>
    </row>
    <row r="73" spans="1:12" ht="10.050000000000001" customHeight="1" x14ac:dyDescent="0.3">
      <c r="A73" s="86"/>
      <c r="B73" s="87"/>
      <c r="C73" s="87"/>
      <c r="D73" s="87"/>
      <c r="E73" s="87"/>
      <c r="F73" s="87"/>
      <c r="G73" s="87"/>
      <c r="H73" s="87"/>
      <c r="I73" s="87"/>
      <c r="J73" s="52"/>
    </row>
    <row r="74" spans="1:12" ht="21" customHeight="1" x14ac:dyDescent="0.4">
      <c r="A74" s="188" t="s">
        <v>236</v>
      </c>
      <c r="B74" s="189"/>
      <c r="C74" s="189"/>
      <c r="D74" s="189"/>
      <c r="E74" s="189"/>
      <c r="F74" s="189"/>
      <c r="G74" s="189"/>
      <c r="H74" s="189"/>
      <c r="I74" s="189"/>
      <c r="J74" s="52"/>
    </row>
    <row r="75" spans="1:12" ht="10.050000000000001" customHeight="1" thickBot="1" x14ac:dyDescent="0.35">
      <c r="A75" s="86"/>
      <c r="B75" s="87"/>
      <c r="C75" s="87"/>
      <c r="D75" s="87"/>
      <c r="E75" s="87"/>
      <c r="F75" s="87"/>
      <c r="G75" s="87"/>
      <c r="H75" s="87"/>
      <c r="I75" s="87"/>
      <c r="J75" s="52"/>
    </row>
    <row r="76" spans="1:12" ht="14.4" customHeight="1" x14ac:dyDescent="0.3">
      <c r="A76" s="86"/>
      <c r="B76" s="193" t="s">
        <v>267</v>
      </c>
      <c r="C76" s="204"/>
      <c r="D76" s="125" t="b">
        <v>0</v>
      </c>
      <c r="E76" s="88" t="s">
        <v>237</v>
      </c>
      <c r="F76" s="89"/>
      <c r="G76" s="87"/>
      <c r="H76" s="87"/>
      <c r="I76" s="87"/>
      <c r="J76" s="52"/>
      <c r="K76" s="110" t="b">
        <v>0</v>
      </c>
    </row>
    <row r="77" spans="1:12" ht="14.4" customHeight="1" x14ac:dyDescent="0.3">
      <c r="A77" s="61"/>
      <c r="B77" s="205"/>
      <c r="C77" s="206"/>
      <c r="D77" s="27" t="b">
        <v>0</v>
      </c>
      <c r="E77" s="90" t="s">
        <v>238</v>
      </c>
      <c r="F77" s="91"/>
      <c r="G77" s="92"/>
      <c r="H77" s="92"/>
      <c r="I77" s="92"/>
      <c r="J77" s="52"/>
      <c r="K77" s="110" t="b">
        <v>0</v>
      </c>
    </row>
    <row r="78" spans="1:12" ht="14.4" customHeight="1" x14ac:dyDescent="0.3">
      <c r="A78" s="61"/>
      <c r="B78" s="205"/>
      <c r="C78" s="206"/>
      <c r="D78" s="27"/>
      <c r="E78" s="90" t="s">
        <v>239</v>
      </c>
      <c r="F78" s="91"/>
      <c r="G78" s="92"/>
      <c r="H78" s="92"/>
      <c r="I78" s="92"/>
      <c r="J78" s="52"/>
      <c r="K78" s="110" t="b">
        <v>0</v>
      </c>
    </row>
    <row r="79" spans="1:12" ht="14.4" customHeight="1" x14ac:dyDescent="0.3">
      <c r="A79" s="61"/>
      <c r="B79" s="205"/>
      <c r="C79" s="206"/>
      <c r="D79" s="27" t="b">
        <v>0</v>
      </c>
      <c r="E79" s="90" t="s">
        <v>240</v>
      </c>
      <c r="F79" s="91"/>
      <c r="G79" s="92"/>
      <c r="H79" s="92"/>
      <c r="I79" s="92"/>
      <c r="J79" s="52"/>
      <c r="K79" s="110" t="b">
        <v>0</v>
      </c>
    </row>
    <row r="80" spans="1:12" ht="14.4" customHeight="1" x14ac:dyDescent="0.3">
      <c r="A80" s="61"/>
      <c r="B80" s="205"/>
      <c r="C80" s="206"/>
      <c r="D80" s="27" t="b">
        <v>0</v>
      </c>
      <c r="E80" s="90" t="s">
        <v>241</v>
      </c>
      <c r="F80" s="91"/>
      <c r="G80" s="92"/>
      <c r="H80" s="92"/>
      <c r="I80" s="92"/>
      <c r="J80" s="52"/>
      <c r="K80" s="110" t="b">
        <v>0</v>
      </c>
    </row>
    <row r="81" spans="1:11" ht="14.4" customHeight="1" x14ac:dyDescent="0.3">
      <c r="A81" s="61"/>
      <c r="B81" s="205"/>
      <c r="C81" s="206"/>
      <c r="D81" s="27" t="b">
        <v>0</v>
      </c>
      <c r="E81" s="90" t="s">
        <v>242</v>
      </c>
      <c r="F81" s="91"/>
      <c r="G81" s="92"/>
      <c r="H81" s="92"/>
      <c r="I81" s="92"/>
      <c r="J81" s="52"/>
      <c r="K81" s="110" t="b">
        <v>0</v>
      </c>
    </row>
    <row r="82" spans="1:11" ht="14.4" customHeight="1" x14ac:dyDescent="0.3">
      <c r="A82" s="61"/>
      <c r="B82" s="205"/>
      <c r="C82" s="206"/>
      <c r="D82" s="27" t="b">
        <v>0</v>
      </c>
      <c r="E82" s="90" t="s">
        <v>243</v>
      </c>
      <c r="F82" s="91"/>
      <c r="G82" s="92"/>
      <c r="H82" s="92"/>
      <c r="I82" s="92"/>
      <c r="J82" s="52"/>
      <c r="K82" s="110" t="b">
        <v>0</v>
      </c>
    </row>
    <row r="83" spans="1:11" ht="14.4" customHeight="1" thickBot="1" x14ac:dyDescent="0.35">
      <c r="A83" s="61" t="s">
        <v>244</v>
      </c>
      <c r="B83" s="207"/>
      <c r="C83" s="208"/>
      <c r="D83" s="27" t="b">
        <v>0</v>
      </c>
      <c r="E83" s="93" t="s">
        <v>245</v>
      </c>
      <c r="F83" s="94"/>
      <c r="G83" s="92"/>
      <c r="H83" s="92"/>
      <c r="I83" s="92"/>
      <c r="J83" s="52"/>
      <c r="K83" s="110" t="b">
        <v>0</v>
      </c>
    </row>
    <row r="84" spans="1:11" ht="14.4" customHeight="1" x14ac:dyDescent="0.3">
      <c r="A84" s="61"/>
      <c r="B84" s="95"/>
      <c r="C84" s="95"/>
      <c r="D84" s="27"/>
      <c r="E84" s="96"/>
      <c r="F84" s="97"/>
      <c r="G84" s="92"/>
      <c r="H84" s="92"/>
      <c r="I84" s="92"/>
      <c r="J84" s="52"/>
    </row>
    <row r="85" spans="1:11" ht="21" customHeight="1" x14ac:dyDescent="0.4">
      <c r="A85" s="188" t="s">
        <v>246</v>
      </c>
      <c r="B85" s="189"/>
      <c r="C85" s="189"/>
      <c r="D85" s="189"/>
      <c r="E85" s="189"/>
      <c r="F85" s="189"/>
      <c r="G85" s="189"/>
      <c r="H85" s="189"/>
      <c r="I85" s="189"/>
      <c r="J85" s="52"/>
    </row>
    <row r="86" spans="1:11" ht="10.050000000000001" customHeight="1" thickBot="1" x14ac:dyDescent="0.35">
      <c r="A86" s="61"/>
      <c r="B86" s="98"/>
      <c r="C86" s="98"/>
      <c r="D86" s="57"/>
      <c r="E86" s="99"/>
      <c r="F86" s="97"/>
      <c r="G86" s="92"/>
      <c r="H86" s="92"/>
      <c r="I86" s="92"/>
      <c r="J86" s="52"/>
    </row>
    <row r="87" spans="1:11" ht="14.4" customHeight="1" thickBot="1" x14ac:dyDescent="0.35">
      <c r="A87" s="61"/>
      <c r="B87" s="181" t="s">
        <v>247</v>
      </c>
      <c r="C87" s="182"/>
      <c r="D87" s="57"/>
      <c r="E87" s="99"/>
      <c r="F87" s="97"/>
      <c r="G87" s="92"/>
      <c r="H87" s="92"/>
      <c r="I87" s="92"/>
      <c r="J87" s="52"/>
    </row>
    <row r="88" spans="1:11" ht="14.4" customHeight="1" thickBot="1" x14ac:dyDescent="0.35">
      <c r="A88" s="61"/>
      <c r="B88" s="183"/>
      <c r="C88" s="184"/>
      <c r="D88" s="27">
        <f>IF(E88="Paper", 1, IF(E88="CAPI", 2, 3))</f>
        <v>2</v>
      </c>
      <c r="E88" s="191" t="s">
        <v>180</v>
      </c>
      <c r="F88" s="192"/>
      <c r="G88" s="92"/>
      <c r="H88" s="92"/>
      <c r="I88" s="92"/>
      <c r="J88" s="52"/>
    </row>
    <row r="89" spans="1:11" ht="14.4" customHeight="1" thickBot="1" x14ac:dyDescent="0.35">
      <c r="A89" s="61"/>
      <c r="B89" s="185"/>
      <c r="C89" s="186"/>
      <c r="D89" s="57"/>
      <c r="E89" s="99"/>
      <c r="F89" s="97"/>
      <c r="G89" s="92"/>
      <c r="H89" s="92"/>
      <c r="I89" s="92"/>
      <c r="J89" s="52"/>
    </row>
    <row r="90" spans="1:11" ht="10.050000000000001" customHeight="1" x14ac:dyDescent="0.3">
      <c r="A90" s="61"/>
      <c r="B90" s="95"/>
      <c r="C90" s="95"/>
      <c r="D90" s="27"/>
      <c r="E90" s="96"/>
      <c r="F90" s="97"/>
      <c r="G90" s="92"/>
      <c r="H90" s="92"/>
      <c r="I90" s="92"/>
      <c r="J90" s="52"/>
    </row>
    <row r="91" spans="1:11" ht="21" customHeight="1" x14ac:dyDescent="0.4">
      <c r="A91" s="188" t="s">
        <v>248</v>
      </c>
      <c r="B91" s="189"/>
      <c r="C91" s="189"/>
      <c r="D91" s="189"/>
      <c r="E91" s="189"/>
      <c r="F91" s="189"/>
      <c r="G91" s="189"/>
      <c r="H91" s="189"/>
      <c r="I91" s="189"/>
      <c r="J91" s="52"/>
    </row>
    <row r="92" spans="1:11" ht="10.050000000000001" customHeight="1" thickBot="1" x14ac:dyDescent="0.35">
      <c r="A92" s="61"/>
      <c r="B92" s="95"/>
      <c r="C92" s="95"/>
      <c r="D92" s="27"/>
      <c r="E92" s="96"/>
      <c r="F92" s="97"/>
      <c r="G92" s="92"/>
      <c r="H92" s="92"/>
      <c r="I92" s="92"/>
      <c r="J92" s="52"/>
    </row>
    <row r="93" spans="1:11" ht="14.4" customHeight="1" x14ac:dyDescent="0.3">
      <c r="A93" s="61"/>
      <c r="B93" s="193" t="s">
        <v>268</v>
      </c>
      <c r="C93" s="194"/>
      <c r="D93" s="27"/>
      <c r="E93" s="88" t="s">
        <v>252</v>
      </c>
      <c r="F93" s="100"/>
      <c r="G93" s="92"/>
      <c r="H93" s="92"/>
      <c r="I93" s="92"/>
      <c r="J93" s="52"/>
      <c r="K93" s="110" t="b">
        <v>0</v>
      </c>
    </row>
    <row r="94" spans="1:11" ht="14.4" customHeight="1" x14ac:dyDescent="0.3">
      <c r="A94" s="61"/>
      <c r="B94" s="195"/>
      <c r="C94" s="196"/>
      <c r="D94" s="27"/>
      <c r="E94" s="90" t="s">
        <v>250</v>
      </c>
      <c r="F94" s="91"/>
      <c r="G94" s="92"/>
      <c r="H94" s="92"/>
      <c r="I94" s="92"/>
      <c r="J94" s="52"/>
      <c r="K94" s="110" t="b">
        <v>0</v>
      </c>
    </row>
    <row r="95" spans="1:11" ht="14.4" customHeight="1" x14ac:dyDescent="0.3">
      <c r="A95" s="61"/>
      <c r="B95" s="195"/>
      <c r="C95" s="196"/>
      <c r="D95" s="27"/>
      <c r="E95" s="90" t="s">
        <v>249</v>
      </c>
      <c r="F95" s="91"/>
      <c r="G95" s="92"/>
      <c r="H95" s="92"/>
      <c r="I95" s="92"/>
      <c r="J95" s="52"/>
      <c r="K95" s="110" t="b">
        <v>0</v>
      </c>
    </row>
    <row r="96" spans="1:11" ht="14.4" customHeight="1" thickBot="1" x14ac:dyDescent="0.35">
      <c r="A96" s="61"/>
      <c r="B96" s="197"/>
      <c r="C96" s="198"/>
      <c r="D96" s="27"/>
      <c r="E96" s="93" t="s">
        <v>251</v>
      </c>
      <c r="F96" s="94"/>
      <c r="G96" s="92"/>
      <c r="H96" s="92"/>
      <c r="I96" s="92"/>
      <c r="J96" s="52"/>
      <c r="K96" s="110" t="b">
        <v>0</v>
      </c>
    </row>
    <row r="97" spans="1:10" ht="10.050000000000001" customHeight="1" x14ac:dyDescent="0.3">
      <c r="A97" s="61"/>
      <c r="B97" s="95"/>
      <c r="C97" s="95"/>
      <c r="D97" s="27"/>
      <c r="E97" s="96"/>
      <c r="F97" s="97"/>
      <c r="G97" s="92"/>
      <c r="H97" s="92"/>
      <c r="I97" s="92"/>
      <c r="J97" s="52"/>
    </row>
    <row r="98" spans="1:10" ht="21" customHeight="1" x14ac:dyDescent="0.4">
      <c r="A98" s="188" t="s">
        <v>253</v>
      </c>
      <c r="B98" s="189"/>
      <c r="C98" s="189"/>
      <c r="D98" s="189"/>
      <c r="E98" s="189"/>
      <c r="F98" s="189"/>
      <c r="G98" s="189"/>
      <c r="H98" s="189"/>
      <c r="I98" s="189"/>
      <c r="J98" s="52"/>
    </row>
    <row r="99" spans="1:10" ht="10.050000000000001" customHeight="1" thickBot="1" x14ac:dyDescent="0.35">
      <c r="A99" s="61"/>
      <c r="B99" s="98"/>
      <c r="C99" s="98"/>
      <c r="D99" s="57"/>
      <c r="E99" s="99"/>
      <c r="F99" s="97"/>
      <c r="G99" s="92"/>
      <c r="H99" s="92"/>
      <c r="I99" s="92"/>
      <c r="J99" s="52"/>
    </row>
    <row r="100" spans="1:10" ht="14.4" customHeight="1" thickBot="1" x14ac:dyDescent="0.35">
      <c r="A100" s="61"/>
      <c r="B100" s="181" t="s">
        <v>270</v>
      </c>
      <c r="C100" s="182"/>
      <c r="D100" s="57"/>
      <c r="E100" s="99"/>
      <c r="F100" s="97"/>
      <c r="G100" s="92"/>
      <c r="H100" s="92"/>
      <c r="I100" s="92"/>
      <c r="J100" s="52"/>
    </row>
    <row r="101" spans="1:10" ht="14.4" customHeight="1" thickBot="1" x14ac:dyDescent="0.35">
      <c r="A101" s="61"/>
      <c r="B101" s="183"/>
      <c r="C101" s="184"/>
      <c r="D101" s="27">
        <f>IF(E101="Phone", 1, IF(E101="Field", 2, 3))</f>
        <v>3</v>
      </c>
      <c r="E101" s="191" t="s">
        <v>188</v>
      </c>
      <c r="F101" s="192"/>
      <c r="G101" s="92"/>
      <c r="H101" s="92"/>
      <c r="I101" s="92"/>
      <c r="J101" s="52"/>
    </row>
    <row r="102" spans="1:10" ht="14.4" customHeight="1" thickBot="1" x14ac:dyDescent="0.35">
      <c r="A102" s="61"/>
      <c r="B102" s="185"/>
      <c r="C102" s="186"/>
      <c r="D102" s="57"/>
      <c r="E102" s="99"/>
      <c r="F102" s="97"/>
      <c r="G102" s="92"/>
      <c r="H102" s="92"/>
      <c r="I102" s="92"/>
      <c r="J102" s="52"/>
    </row>
    <row r="103" spans="1:10" ht="10.050000000000001" customHeight="1" x14ac:dyDescent="0.3">
      <c r="A103" s="61"/>
      <c r="B103" s="95"/>
      <c r="C103" s="95"/>
      <c r="D103" s="27"/>
      <c r="E103" s="96"/>
      <c r="F103" s="97"/>
      <c r="G103" s="92"/>
      <c r="H103" s="92"/>
      <c r="I103" s="92"/>
      <c r="J103" s="52"/>
    </row>
    <row r="104" spans="1:10" ht="21" customHeight="1" x14ac:dyDescent="0.4">
      <c r="A104" s="188" t="s">
        <v>254</v>
      </c>
      <c r="B104" s="189"/>
      <c r="C104" s="189"/>
      <c r="D104" s="189"/>
      <c r="E104" s="189"/>
      <c r="F104" s="189"/>
      <c r="G104" s="189"/>
      <c r="H104" s="189"/>
      <c r="I104" s="189"/>
      <c r="J104" s="52"/>
    </row>
    <row r="105" spans="1:10" ht="10.050000000000001" customHeight="1" thickBot="1" x14ac:dyDescent="0.35">
      <c r="A105" s="61"/>
      <c r="B105" s="98"/>
      <c r="C105" s="98"/>
      <c r="D105" s="57"/>
      <c r="E105" s="99"/>
      <c r="F105" s="97"/>
      <c r="G105" s="92"/>
      <c r="H105" s="92"/>
      <c r="I105" s="92"/>
      <c r="J105" s="52"/>
    </row>
    <row r="106" spans="1:10" ht="14.4" customHeight="1" thickBot="1" x14ac:dyDescent="0.35">
      <c r="A106" s="61"/>
      <c r="B106" s="181" t="s">
        <v>269</v>
      </c>
      <c r="C106" s="182"/>
      <c r="D106" s="57"/>
      <c r="E106" s="99"/>
      <c r="F106" s="97"/>
      <c r="G106" s="92"/>
      <c r="H106" s="92"/>
      <c r="I106" s="92"/>
      <c r="J106" s="52"/>
    </row>
    <row r="107" spans="1:10" ht="14.4" customHeight="1" thickBot="1" x14ac:dyDescent="0.35">
      <c r="A107" s="61"/>
      <c r="B107" s="183"/>
      <c r="C107" s="184"/>
      <c r="D107" s="27">
        <f>IF(E107="Quantitative", 1, IF(E107="Qualitative", 2, 3))</f>
        <v>3</v>
      </c>
      <c r="E107" s="191" t="s">
        <v>191</v>
      </c>
      <c r="F107" s="192"/>
      <c r="G107" s="92"/>
      <c r="H107" s="92"/>
      <c r="I107" s="92"/>
      <c r="J107" s="52"/>
    </row>
    <row r="108" spans="1:10" ht="14.4" customHeight="1" thickBot="1" x14ac:dyDescent="0.35">
      <c r="A108" s="61"/>
      <c r="B108" s="185"/>
      <c r="C108" s="186"/>
      <c r="D108" s="57"/>
      <c r="E108" s="99"/>
      <c r="F108" s="97"/>
      <c r="G108" s="92"/>
      <c r="H108" s="92"/>
      <c r="I108" s="92"/>
      <c r="J108" s="52"/>
    </row>
    <row r="109" spans="1:10" ht="10.050000000000001" customHeight="1" x14ac:dyDescent="0.3">
      <c r="A109" s="61"/>
      <c r="B109" s="95"/>
      <c r="C109" s="95"/>
      <c r="D109" s="27"/>
      <c r="E109" s="96"/>
      <c r="F109" s="97"/>
      <c r="G109" s="92"/>
      <c r="H109" s="92"/>
      <c r="I109" s="92"/>
      <c r="J109" s="52"/>
    </row>
    <row r="110" spans="1:10" ht="21" customHeight="1" x14ac:dyDescent="0.4">
      <c r="A110" s="188" t="s">
        <v>259</v>
      </c>
      <c r="B110" s="189"/>
      <c r="C110" s="189"/>
      <c r="D110" s="189"/>
      <c r="E110" s="189"/>
      <c r="F110" s="189"/>
      <c r="G110" s="189"/>
      <c r="H110" s="189"/>
      <c r="I110" s="189"/>
      <c r="J110" s="52"/>
    </row>
    <row r="111" spans="1:10" ht="10.050000000000001" customHeight="1" thickBot="1" x14ac:dyDescent="0.35">
      <c r="A111" s="61"/>
      <c r="B111" s="98"/>
      <c r="C111" s="98"/>
      <c r="D111" s="57"/>
      <c r="E111" s="99"/>
      <c r="F111" s="97"/>
      <c r="G111" s="92"/>
      <c r="H111" s="92"/>
      <c r="I111" s="92"/>
      <c r="J111" s="52"/>
    </row>
    <row r="112" spans="1:10" ht="14.4" customHeight="1" thickBot="1" x14ac:dyDescent="0.35">
      <c r="A112" s="61"/>
      <c r="B112" s="181" t="s">
        <v>271</v>
      </c>
      <c r="C112" s="182"/>
      <c r="D112" s="57"/>
      <c r="E112" s="99"/>
      <c r="F112" s="97"/>
      <c r="G112" s="92"/>
      <c r="H112" s="92"/>
      <c r="I112" s="92"/>
      <c r="J112" s="52"/>
    </row>
    <row r="113" spans="1:11" ht="14.4" customHeight="1" thickBot="1" x14ac:dyDescent="0.35">
      <c r="A113" s="61"/>
      <c r="B113" s="183"/>
      <c r="C113" s="184"/>
      <c r="D113" s="27">
        <f>VLOOKUP(E113, education_val, 2, 0)</f>
        <v>5</v>
      </c>
      <c r="E113" s="191" t="s">
        <v>153</v>
      </c>
      <c r="F113" s="192"/>
      <c r="G113" s="92"/>
      <c r="H113" s="92"/>
      <c r="I113" s="92"/>
      <c r="J113" s="52"/>
    </row>
    <row r="114" spans="1:11" ht="14.4" customHeight="1" thickBot="1" x14ac:dyDescent="0.35">
      <c r="A114" s="61"/>
      <c r="B114" s="185"/>
      <c r="C114" s="186"/>
      <c r="D114" s="57"/>
      <c r="E114" s="99"/>
      <c r="F114" s="97"/>
      <c r="G114" s="92"/>
      <c r="H114" s="92"/>
      <c r="I114" s="92"/>
      <c r="J114" s="52"/>
    </row>
    <row r="115" spans="1:11" ht="10.050000000000001" customHeight="1" x14ac:dyDescent="0.3">
      <c r="A115" s="61"/>
      <c r="B115" s="98"/>
      <c r="C115" s="98"/>
      <c r="D115" s="57"/>
      <c r="E115" s="99"/>
      <c r="F115" s="97"/>
      <c r="G115" s="92"/>
      <c r="H115" s="92"/>
      <c r="I115" s="92"/>
      <c r="J115" s="52"/>
    </row>
    <row r="116" spans="1:11" ht="21" customHeight="1" x14ac:dyDescent="0.4">
      <c r="A116" s="188" t="s">
        <v>255</v>
      </c>
      <c r="B116" s="189"/>
      <c r="C116" s="189"/>
      <c r="D116" s="189"/>
      <c r="E116" s="189"/>
      <c r="F116" s="189"/>
      <c r="G116" s="189"/>
      <c r="H116" s="189"/>
      <c r="I116" s="189"/>
      <c r="J116" s="52"/>
    </row>
    <row r="117" spans="1:11" ht="10.050000000000001" customHeight="1" thickBot="1" x14ac:dyDescent="0.45">
      <c r="A117" s="78"/>
      <c r="B117" s="79"/>
      <c r="C117" s="79"/>
      <c r="D117" s="79"/>
      <c r="E117" s="79"/>
      <c r="F117" s="79"/>
      <c r="G117" s="79"/>
      <c r="H117" s="79"/>
      <c r="I117" s="79"/>
      <c r="J117" s="52"/>
    </row>
    <row r="118" spans="1:11" ht="14.4" customHeight="1" x14ac:dyDescent="0.3">
      <c r="A118" s="61"/>
      <c r="B118" s="181" t="s">
        <v>272</v>
      </c>
      <c r="C118" s="182"/>
      <c r="D118" s="57"/>
      <c r="E118" s="99"/>
      <c r="F118" s="187"/>
      <c r="G118" s="187"/>
      <c r="H118" s="187"/>
      <c r="I118" s="187"/>
      <c r="J118" s="52"/>
    </row>
    <row r="119" spans="1:11" ht="14.4" customHeight="1" x14ac:dyDescent="0.3">
      <c r="A119" s="61"/>
      <c r="B119" s="183"/>
      <c r="C119" s="184"/>
      <c r="D119" s="57"/>
      <c r="E119" s="99"/>
      <c r="F119" s="187"/>
      <c r="G119" s="187"/>
      <c r="H119" s="187"/>
      <c r="I119" s="187"/>
      <c r="J119" s="52"/>
    </row>
    <row r="120" spans="1:11" ht="14.4" customHeight="1" x14ac:dyDescent="0.3">
      <c r="A120" s="61"/>
      <c r="B120" s="183"/>
      <c r="C120" s="184"/>
      <c r="D120" s="27"/>
      <c r="E120" s="99"/>
      <c r="F120" s="187"/>
      <c r="G120" s="187"/>
      <c r="H120" s="187"/>
      <c r="I120" s="187"/>
      <c r="J120" s="52"/>
      <c r="K120" s="110" t="b">
        <v>0</v>
      </c>
    </row>
    <row r="121" spans="1:11" ht="14.4" customHeight="1" x14ac:dyDescent="0.3">
      <c r="A121" s="61"/>
      <c r="B121" s="183"/>
      <c r="C121" s="184"/>
      <c r="D121" s="57"/>
      <c r="E121" s="99"/>
      <c r="F121" s="187"/>
      <c r="G121" s="187"/>
      <c r="H121" s="187"/>
      <c r="I121" s="187"/>
      <c r="J121" s="52"/>
    </row>
    <row r="122" spans="1:11" ht="14.4" customHeight="1" x14ac:dyDescent="0.3">
      <c r="A122" s="61"/>
      <c r="B122" s="183"/>
      <c r="C122" s="184"/>
      <c r="D122" s="57"/>
      <c r="E122" s="99"/>
      <c r="F122" s="187"/>
      <c r="G122" s="187"/>
      <c r="H122" s="187"/>
      <c r="I122" s="187"/>
      <c r="J122" s="52"/>
    </row>
    <row r="123" spans="1:11" ht="14.4" customHeight="1" thickBot="1" x14ac:dyDescent="0.35">
      <c r="A123" s="61"/>
      <c r="B123" s="185"/>
      <c r="C123" s="186"/>
      <c r="D123" s="57"/>
      <c r="E123" s="99"/>
      <c r="F123" s="187"/>
      <c r="G123" s="187"/>
      <c r="H123" s="187"/>
      <c r="I123" s="187"/>
      <c r="J123" s="52"/>
    </row>
    <row r="124" spans="1:11" ht="10.050000000000001" customHeight="1" x14ac:dyDescent="0.3">
      <c r="A124" s="61"/>
      <c r="B124" s="98"/>
      <c r="C124" s="98"/>
      <c r="D124" s="57"/>
      <c r="E124" s="99"/>
      <c r="F124" s="97"/>
      <c r="G124" s="92"/>
      <c r="H124" s="92"/>
      <c r="I124" s="92"/>
      <c r="J124" s="52"/>
    </row>
    <row r="125" spans="1:11" ht="21" customHeight="1" x14ac:dyDescent="0.4">
      <c r="A125" s="188" t="s">
        <v>256</v>
      </c>
      <c r="B125" s="189"/>
      <c r="C125" s="189"/>
      <c r="D125" s="189"/>
      <c r="E125" s="189"/>
      <c r="F125" s="189"/>
      <c r="G125" s="189"/>
      <c r="H125" s="189"/>
      <c r="I125" s="189"/>
      <c r="J125" s="52"/>
    </row>
    <row r="126" spans="1:11" ht="10.050000000000001" customHeight="1" thickBot="1" x14ac:dyDescent="0.45">
      <c r="A126" s="78"/>
      <c r="B126" s="79"/>
      <c r="C126" s="79"/>
      <c r="D126" s="79"/>
      <c r="E126" s="79"/>
      <c r="F126" s="79"/>
      <c r="G126" s="79"/>
      <c r="H126" s="79"/>
      <c r="I126" s="79"/>
      <c r="J126" s="52"/>
    </row>
    <row r="127" spans="1:11" ht="14.4" customHeight="1" thickBot="1" x14ac:dyDescent="0.35">
      <c r="A127" s="61"/>
      <c r="B127" s="181" t="s">
        <v>258</v>
      </c>
      <c r="C127" s="182"/>
      <c r="D127" s="57"/>
      <c r="E127" s="99"/>
      <c r="F127" s="97"/>
      <c r="G127" s="92"/>
      <c r="H127" s="190" t="s">
        <v>257</v>
      </c>
      <c r="I127" s="190"/>
      <c r="J127" s="52"/>
    </row>
    <row r="128" spans="1:11" ht="14.4" customHeight="1" thickBot="1" x14ac:dyDescent="0.35">
      <c r="A128" s="61"/>
      <c r="B128" s="183"/>
      <c r="C128" s="184"/>
      <c r="D128" s="27">
        <f>IF(E128="Male", 1, 2)</f>
        <v>2</v>
      </c>
      <c r="E128" s="191"/>
      <c r="F128" s="192"/>
      <c r="G128" s="92"/>
      <c r="H128" s="190"/>
      <c r="I128" s="190"/>
      <c r="J128" s="52"/>
    </row>
    <row r="129" spans="1:10" ht="14.4" customHeight="1" thickBot="1" x14ac:dyDescent="0.35">
      <c r="A129" s="61"/>
      <c r="B129" s="185"/>
      <c r="C129" s="186"/>
      <c r="D129" s="57"/>
      <c r="E129" s="99"/>
      <c r="F129" s="97"/>
      <c r="G129" s="92"/>
      <c r="H129" s="190"/>
      <c r="I129" s="190"/>
      <c r="J129" s="52"/>
    </row>
    <row r="130" spans="1:10" ht="10.050000000000001" customHeight="1" thickBot="1" x14ac:dyDescent="0.45">
      <c r="A130" s="101"/>
      <c r="B130" s="102"/>
      <c r="C130" s="102"/>
      <c r="D130" s="102"/>
      <c r="E130" s="102"/>
      <c r="F130" s="102"/>
      <c r="G130" s="102"/>
      <c r="H130" s="102"/>
      <c r="I130" s="102"/>
      <c r="J130" s="103"/>
    </row>
    <row r="131" spans="1:10" ht="10.050000000000001" customHeight="1" thickBot="1" x14ac:dyDescent="0.45">
      <c r="A131" s="79"/>
      <c r="B131" s="79"/>
      <c r="C131" s="79"/>
      <c r="D131" s="79"/>
      <c r="E131" s="79"/>
      <c r="F131" s="79"/>
      <c r="G131" s="79"/>
      <c r="H131" s="79"/>
      <c r="I131" s="79"/>
      <c r="J131" s="96"/>
    </row>
    <row r="132" spans="1:10" ht="21" x14ac:dyDescent="0.4">
      <c r="A132" s="174" t="s">
        <v>276</v>
      </c>
      <c r="B132" s="175"/>
      <c r="C132" s="175"/>
      <c r="D132" s="175"/>
      <c r="E132" s="175"/>
      <c r="F132" s="175"/>
      <c r="G132" s="175"/>
      <c r="H132" s="175"/>
      <c r="I132" s="175"/>
      <c r="J132" s="51"/>
    </row>
    <row r="133" spans="1:10" ht="14.4" customHeight="1" x14ac:dyDescent="0.4">
      <c r="A133" s="59"/>
      <c r="B133" s="60"/>
      <c r="C133" s="60"/>
      <c r="D133" s="60"/>
      <c r="E133" s="60"/>
      <c r="F133" s="60"/>
      <c r="G133" s="60"/>
      <c r="H133" s="60"/>
      <c r="I133" s="60"/>
      <c r="J133" s="52"/>
    </row>
    <row r="134" spans="1:10" ht="54" customHeight="1" x14ac:dyDescent="0.3">
      <c r="A134" s="61"/>
      <c r="B134" s="176" t="s">
        <v>134</v>
      </c>
      <c r="C134" s="177"/>
      <c r="D134" s="177"/>
      <c r="E134" s="177"/>
      <c r="F134" s="177"/>
      <c r="G134" s="177"/>
      <c r="H134" s="177"/>
      <c r="I134" s="178"/>
      <c r="J134" s="52"/>
    </row>
    <row r="135" spans="1:10" x14ac:dyDescent="0.3">
      <c r="A135" s="61"/>
      <c r="B135" s="62"/>
      <c r="C135" s="57"/>
      <c r="D135" s="57"/>
      <c r="E135" s="57"/>
      <c r="F135" s="57"/>
      <c r="G135" s="57"/>
      <c r="H135" s="57"/>
      <c r="I135" s="57"/>
      <c r="J135" s="52"/>
    </row>
    <row r="136" spans="1:10" x14ac:dyDescent="0.3">
      <c r="A136" s="61"/>
      <c r="B136" s="179" t="s">
        <v>133</v>
      </c>
      <c r="C136" s="179"/>
      <c r="D136" s="179"/>
      <c r="E136" s="179"/>
      <c r="F136" s="179"/>
      <c r="G136" s="54"/>
      <c r="H136" s="180"/>
      <c r="I136" s="180"/>
      <c r="J136" s="52"/>
    </row>
    <row r="137" spans="1:10" ht="14.4" customHeight="1" x14ac:dyDescent="0.3">
      <c r="A137" s="105">
        <v>1</v>
      </c>
      <c r="B137" s="169"/>
      <c r="C137" s="170"/>
      <c r="D137" s="170"/>
      <c r="E137" s="170"/>
      <c r="F137" s="171"/>
      <c r="G137" s="106" t="e">
        <f>VLOOKUP($B137, metrics, 2, 0)</f>
        <v>#N/A</v>
      </c>
      <c r="H137" s="172"/>
      <c r="I137" s="173"/>
      <c r="J137" s="52"/>
    </row>
    <row r="138" spans="1:10" ht="10.050000000000001" customHeight="1" x14ac:dyDescent="0.3">
      <c r="A138" s="105"/>
      <c r="B138" s="62"/>
      <c r="C138" s="57"/>
      <c r="D138" s="57"/>
      <c r="E138" s="57"/>
      <c r="F138" s="57"/>
      <c r="G138" s="57"/>
      <c r="H138" s="57"/>
      <c r="I138" s="57"/>
      <c r="J138" s="52"/>
    </row>
    <row r="139" spans="1:10" ht="14.4" customHeight="1" x14ac:dyDescent="0.3">
      <c r="A139" s="105">
        <v>2</v>
      </c>
      <c r="B139" s="169"/>
      <c r="C139" s="170"/>
      <c r="D139" s="170"/>
      <c r="E139" s="170"/>
      <c r="F139" s="171"/>
      <c r="G139" s="106" t="e">
        <f>VLOOKUP($B139, metrics, 2, 0)</f>
        <v>#N/A</v>
      </c>
      <c r="H139" s="172"/>
      <c r="I139" s="173"/>
      <c r="J139" s="52"/>
    </row>
    <row r="140" spans="1:10" ht="10.050000000000001" customHeight="1" x14ac:dyDescent="0.3">
      <c r="A140" s="105"/>
      <c r="B140" s="62"/>
      <c r="C140" s="57"/>
      <c r="D140" s="57"/>
      <c r="E140" s="57"/>
      <c r="F140" s="57"/>
      <c r="G140" s="57"/>
      <c r="H140" s="57"/>
      <c r="I140" s="57"/>
      <c r="J140" s="52"/>
    </row>
    <row r="141" spans="1:10" ht="14.4" customHeight="1" x14ac:dyDescent="0.3">
      <c r="A141" s="105">
        <v>3</v>
      </c>
      <c r="B141" s="169"/>
      <c r="C141" s="170"/>
      <c r="D141" s="170"/>
      <c r="E141" s="170"/>
      <c r="F141" s="171"/>
      <c r="G141" s="106" t="e">
        <f>VLOOKUP($B141, metrics, 2, 0)</f>
        <v>#N/A</v>
      </c>
      <c r="H141" s="172"/>
      <c r="I141" s="173"/>
      <c r="J141" s="52"/>
    </row>
    <row r="142" spans="1:10" ht="10.050000000000001" customHeight="1" x14ac:dyDescent="0.3">
      <c r="A142" s="105"/>
      <c r="B142" s="62"/>
      <c r="C142" s="57"/>
      <c r="D142" s="57"/>
      <c r="E142" s="57"/>
      <c r="F142" s="57"/>
      <c r="G142" s="57"/>
      <c r="H142" s="57"/>
      <c r="I142" s="57"/>
      <c r="J142" s="52"/>
    </row>
    <row r="143" spans="1:10" x14ac:dyDescent="0.3">
      <c r="A143" s="105">
        <v>4</v>
      </c>
      <c r="B143" s="169"/>
      <c r="C143" s="170"/>
      <c r="D143" s="170"/>
      <c r="E143" s="170"/>
      <c r="F143" s="171"/>
      <c r="G143" s="106" t="e">
        <f>VLOOKUP($B143, metrics, 2, 0)</f>
        <v>#N/A</v>
      </c>
      <c r="H143" s="172"/>
      <c r="I143" s="173"/>
      <c r="J143" s="52"/>
    </row>
    <row r="144" spans="1:10" ht="10.050000000000001" customHeight="1" x14ac:dyDescent="0.3">
      <c r="A144" s="105"/>
      <c r="B144" s="62"/>
      <c r="C144" s="57"/>
      <c r="D144" s="57"/>
      <c r="E144" s="57"/>
      <c r="F144" s="57"/>
      <c r="G144" s="57"/>
      <c r="H144" s="57"/>
      <c r="I144" s="57"/>
      <c r="J144" s="52"/>
    </row>
    <row r="145" spans="1:10" x14ac:dyDescent="0.3">
      <c r="A145" s="105">
        <v>5</v>
      </c>
      <c r="B145" s="169"/>
      <c r="C145" s="170"/>
      <c r="D145" s="170"/>
      <c r="E145" s="170"/>
      <c r="F145" s="171"/>
      <c r="G145" s="106" t="e">
        <f>VLOOKUP($B145, metrics, 2, 0)</f>
        <v>#N/A</v>
      </c>
      <c r="H145" s="172"/>
      <c r="I145" s="173"/>
      <c r="J145" s="52"/>
    </row>
    <row r="146" spans="1:10" ht="10.050000000000001" customHeight="1" x14ac:dyDescent="0.3">
      <c r="A146" s="105"/>
      <c r="B146" s="62"/>
      <c r="C146" s="57"/>
      <c r="D146" s="57"/>
      <c r="E146" s="57"/>
      <c r="F146" s="57"/>
      <c r="G146" s="57"/>
      <c r="H146" s="57"/>
      <c r="I146" s="57"/>
      <c r="J146" s="52"/>
    </row>
    <row r="147" spans="1:10" x14ac:dyDescent="0.3">
      <c r="A147" s="105">
        <v>6</v>
      </c>
      <c r="B147" s="169"/>
      <c r="C147" s="170"/>
      <c r="D147" s="170"/>
      <c r="E147" s="170"/>
      <c r="F147" s="171"/>
      <c r="G147" s="106" t="e">
        <f>VLOOKUP($B147, metrics, 2, 0)</f>
        <v>#N/A</v>
      </c>
      <c r="H147" s="172"/>
      <c r="I147" s="173"/>
      <c r="J147" s="52"/>
    </row>
    <row r="148" spans="1:10" ht="10.050000000000001" customHeight="1" thickBot="1" x14ac:dyDescent="0.35">
      <c r="A148" s="107"/>
      <c r="B148" s="108"/>
      <c r="C148" s="109"/>
      <c r="D148" s="109"/>
      <c r="E148" s="109"/>
      <c r="F148" s="109"/>
      <c r="G148" s="109"/>
      <c r="H148" s="109"/>
      <c r="I148" s="109"/>
      <c r="J148" s="103"/>
    </row>
  </sheetData>
  <sheetProtection algorithmName="SHA-512" hashValue="Vyd27YMvkD3TReDnSCNDMBgaftYGSH49sIg4IsbGU+KKx27rvs4L4JehOUtUWP07tiOOHMH1lIfnrwoAHYDhOA==" saltValue="JGsyqPWoLigj6A3h6GtFDg==" spinCount="100000" sheet="1" objects="1" scenarios="1"/>
  <sortState ref="E93:E96">
    <sortCondition ref="E93:E96"/>
  </sortState>
  <mergeCells count="59">
    <mergeCell ref="A132:I132"/>
    <mergeCell ref="B139:F139"/>
    <mergeCell ref="H139:I139"/>
    <mergeCell ref="B147:F147"/>
    <mergeCell ref="H147:I147"/>
    <mergeCell ref="B141:F141"/>
    <mergeCell ref="H141:I141"/>
    <mergeCell ref="B143:F143"/>
    <mergeCell ref="H143:I143"/>
    <mergeCell ref="B145:F145"/>
    <mergeCell ref="H145:I145"/>
    <mergeCell ref="B134:I134"/>
    <mergeCell ref="B136:F136"/>
    <mergeCell ref="H136:I136"/>
    <mergeCell ref="B137:F137"/>
    <mergeCell ref="H137:I137"/>
    <mergeCell ref="A56:I56"/>
    <mergeCell ref="B112:C114"/>
    <mergeCell ref="E113:F113"/>
    <mergeCell ref="A110:I110"/>
    <mergeCell ref="B59:C63"/>
    <mergeCell ref="A74:I74"/>
    <mergeCell ref="B76:C83"/>
    <mergeCell ref="A91:I91"/>
    <mergeCell ref="A85:I85"/>
    <mergeCell ref="B87:C89"/>
    <mergeCell ref="E88:F88"/>
    <mergeCell ref="A45:I45"/>
    <mergeCell ref="B47:C54"/>
    <mergeCell ref="E22:F22"/>
    <mergeCell ref="E26:F26"/>
    <mergeCell ref="E30:F30"/>
    <mergeCell ref="A34:I34"/>
    <mergeCell ref="B36:E43"/>
    <mergeCell ref="E18:F18"/>
    <mergeCell ref="A2:I2"/>
    <mergeCell ref="B4:C4"/>
    <mergeCell ref="D4:F4"/>
    <mergeCell ref="A7:I7"/>
    <mergeCell ref="B13:I13"/>
    <mergeCell ref="H3:H5"/>
    <mergeCell ref="A11:I11"/>
    <mergeCell ref="B9:I9"/>
    <mergeCell ref="A125:I125"/>
    <mergeCell ref="B127:C129"/>
    <mergeCell ref="E128:F128"/>
    <mergeCell ref="H127:I129"/>
    <mergeCell ref="A65:I65"/>
    <mergeCell ref="B68:C72"/>
    <mergeCell ref="B106:C108"/>
    <mergeCell ref="E107:F107"/>
    <mergeCell ref="A116:I116"/>
    <mergeCell ref="B118:C123"/>
    <mergeCell ref="F118:I123"/>
    <mergeCell ref="A98:I98"/>
    <mergeCell ref="B100:C102"/>
    <mergeCell ref="E101:F101"/>
    <mergeCell ref="A104:I104"/>
    <mergeCell ref="B93:C96"/>
  </mergeCells>
  <conditionalFormatting sqref="E47:F54">
    <cfRule type="expression" dxfId="14" priority="20">
      <formula>$K47=TRUE</formula>
    </cfRule>
  </conditionalFormatting>
  <conditionalFormatting sqref="H47:I54">
    <cfRule type="expression" dxfId="13" priority="19">
      <formula>$L47=TRUE</formula>
    </cfRule>
  </conditionalFormatting>
  <conditionalFormatting sqref="E76:F84 E90:F90 E92:F97">
    <cfRule type="expression" dxfId="12" priority="17">
      <formula>$K76=TRUE</formula>
    </cfRule>
  </conditionalFormatting>
  <conditionalFormatting sqref="F89:I89">
    <cfRule type="expression" dxfId="11" priority="16">
      <formula>$A$56 = TRUE</formula>
    </cfRule>
  </conditionalFormatting>
  <conditionalFormatting sqref="F103:I103">
    <cfRule type="expression" dxfId="10" priority="12">
      <formula>$A$56 = TRUE</formula>
    </cfRule>
  </conditionalFormatting>
  <conditionalFormatting sqref="E103:F103">
    <cfRule type="expression" dxfId="9" priority="11">
      <formula>$D103=TRUE</formula>
    </cfRule>
  </conditionalFormatting>
  <conditionalFormatting sqref="F102:I102">
    <cfRule type="expression" dxfId="8" priority="10">
      <formula>$A$56 = TRUE</formula>
    </cfRule>
  </conditionalFormatting>
  <conditionalFormatting sqref="F108:I108">
    <cfRule type="expression" dxfId="7" priority="7">
      <formula>$A$56 = TRUE</formula>
    </cfRule>
  </conditionalFormatting>
  <conditionalFormatting sqref="F109:I109">
    <cfRule type="expression" dxfId="6" priority="9">
      <formula>$A$56 = TRUE</formula>
    </cfRule>
  </conditionalFormatting>
  <conditionalFormatting sqref="E109:F109">
    <cfRule type="expression" dxfId="5" priority="8">
      <formula>$D109=TRUE</formula>
    </cfRule>
  </conditionalFormatting>
  <conditionalFormatting sqref="F118:I123">
    <cfRule type="expression" dxfId="4" priority="6">
      <formula>$K$120=TRUE</formula>
    </cfRule>
  </conditionalFormatting>
  <conditionalFormatting sqref="F129:G129">
    <cfRule type="expression" dxfId="3" priority="5">
      <formula>$A$56 = TRUE</formula>
    </cfRule>
  </conditionalFormatting>
  <conditionalFormatting sqref="H127:I129">
    <cfRule type="expression" dxfId="2" priority="4">
      <formula>OR($E$128="Male", $E$128="Female")</formula>
    </cfRule>
  </conditionalFormatting>
  <conditionalFormatting sqref="F36:F43">
    <cfRule type="expression" dxfId="1" priority="2">
      <formula>$K36=TRUE</formula>
    </cfRule>
  </conditionalFormatting>
  <conditionalFormatting sqref="I36:I43">
    <cfRule type="expression" dxfId="0" priority="1">
      <formula>$L36=TRUE</formula>
    </cfRule>
  </conditionalFormatting>
  <dataValidations count="9">
    <dataValidation type="list" allowBlank="1" showInputMessage="1" showErrorMessage="1" sqref="B137:F137 B139:F139 B141:F141 B145:F145 B143:F143 B147:F147" xr:uid="{F8F3C679-5A68-499B-B2DF-2B1FDB6D1D9E}">
      <formula1>preferred_criteria</formula1>
    </dataValidation>
    <dataValidation type="list" allowBlank="1" showInputMessage="1" showErrorMessage="1" sqref="H137:I137 H139:I139 H141:I141 H143:I143 H145:I145 H147:I147" xr:uid="{525F5DE6-1778-4BA7-BBC2-ED2C2ABE2348}">
      <formula1>INDIRECT($G137)</formula1>
    </dataValidation>
    <dataValidation type="list" allowBlank="1" showInputMessage="1" showErrorMessage="1" sqref="E113:F113" xr:uid="{772BD76F-D09C-4150-82D5-A4C9273F8971}">
      <formula1>education</formula1>
    </dataValidation>
    <dataValidation type="list" allowBlank="1" showInputMessage="1" showErrorMessage="1" sqref="E59:E63 H59:H63 E68:E72 H68:H72" xr:uid="{4F04BFCC-0F50-450F-8964-320B0790CB44}">
      <formula1>projects</formula1>
    </dataValidation>
    <dataValidation type="list" allowBlank="1" showInputMessage="1" showErrorMessage="1" sqref="F59:F63 I59:I63 F68:F72 I68:I72" xr:uid="{9A0EDE9D-3384-4E6C-AFF9-D6AFBD922C4E}">
      <formula1>project_phase</formula1>
    </dataValidation>
    <dataValidation type="list" allowBlank="1" showInputMessage="1" showErrorMessage="1" sqref="E88:F88" xr:uid="{67FA0FA1-C419-42DA-90D8-F346F3CBB01A}">
      <formula1>paper_or_capi_full</formula1>
    </dataValidation>
    <dataValidation type="list" allowBlank="1" showInputMessage="1" showErrorMessage="1" sqref="E101:F101" xr:uid="{B49C2CA9-0B69-49EE-BB7E-024947889538}">
      <formula1>interview_mode_full</formula1>
    </dataValidation>
    <dataValidation type="list" allowBlank="1" showInputMessage="1" showErrorMessage="1" sqref="E107:F107" xr:uid="{82A15CA3-B919-4DB6-A1CA-D645F5A68FD4}">
      <formula1>quantitative_or_qualitative_full</formula1>
    </dataValidation>
    <dataValidation type="list" allowBlank="1" showInputMessage="1" showErrorMessage="1" sqref="E128:F128" xr:uid="{4A96C2C0-FAD9-4BFD-858B-BAF01BC5B070}">
      <formula1>gender</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5" r:id="rId4" name="Check Box 37">
              <controlPr defaultSize="0" autoFill="0" autoLine="0" autoPict="0">
                <anchor moveWithCells="1">
                  <from>
                    <xdr:col>8</xdr:col>
                    <xdr:colOff>22860</xdr:colOff>
                    <xdr:row>34</xdr:row>
                    <xdr:rowOff>114300</xdr:rowOff>
                  </from>
                  <to>
                    <xdr:col>8</xdr:col>
                    <xdr:colOff>266700</xdr:colOff>
                    <xdr:row>36</xdr:row>
                    <xdr:rowOff>30480</xdr:rowOff>
                  </to>
                </anchor>
              </controlPr>
            </control>
          </mc:Choice>
        </mc:AlternateContent>
        <mc:AlternateContent xmlns:mc="http://schemas.openxmlformats.org/markup-compatibility/2006">
          <mc:Choice Requires="x14">
            <control shapeId="2086" r:id="rId5" name="Check Box 38">
              <controlPr defaultSize="0" autoFill="0" autoLine="0" autoPict="0">
                <anchor moveWithCells="1">
                  <from>
                    <xdr:col>8</xdr:col>
                    <xdr:colOff>22860</xdr:colOff>
                    <xdr:row>35</xdr:row>
                    <xdr:rowOff>175260</xdr:rowOff>
                  </from>
                  <to>
                    <xdr:col>8</xdr:col>
                    <xdr:colOff>266700</xdr:colOff>
                    <xdr:row>37</xdr:row>
                    <xdr:rowOff>30480</xdr:rowOff>
                  </to>
                </anchor>
              </controlPr>
            </control>
          </mc:Choice>
        </mc:AlternateContent>
        <mc:AlternateContent xmlns:mc="http://schemas.openxmlformats.org/markup-compatibility/2006">
          <mc:Choice Requires="x14">
            <control shapeId="2137" r:id="rId6" name="Check Box 89">
              <controlPr defaultSize="0" autoFill="0" autoLine="0" autoPict="0">
                <anchor moveWithCells="1">
                  <from>
                    <xdr:col>4</xdr:col>
                    <xdr:colOff>22860</xdr:colOff>
                    <xdr:row>45</xdr:row>
                    <xdr:rowOff>106680</xdr:rowOff>
                  </from>
                  <to>
                    <xdr:col>4</xdr:col>
                    <xdr:colOff>266700</xdr:colOff>
                    <xdr:row>47</xdr:row>
                    <xdr:rowOff>22860</xdr:rowOff>
                  </to>
                </anchor>
              </controlPr>
            </control>
          </mc:Choice>
        </mc:AlternateContent>
        <mc:AlternateContent xmlns:mc="http://schemas.openxmlformats.org/markup-compatibility/2006">
          <mc:Choice Requires="x14">
            <control shapeId="2185" r:id="rId7" name="Check Box 137">
              <controlPr defaultSize="0" autoFill="0" autoLine="0" autoPict="0">
                <anchor moveWithCells="1">
                  <from>
                    <xdr:col>4</xdr:col>
                    <xdr:colOff>15240</xdr:colOff>
                    <xdr:row>47</xdr:row>
                    <xdr:rowOff>160020</xdr:rowOff>
                  </from>
                  <to>
                    <xdr:col>4</xdr:col>
                    <xdr:colOff>259080</xdr:colOff>
                    <xdr:row>49</xdr:row>
                    <xdr:rowOff>22860</xdr:rowOff>
                  </to>
                </anchor>
              </controlPr>
            </control>
          </mc:Choice>
        </mc:AlternateContent>
        <mc:AlternateContent xmlns:mc="http://schemas.openxmlformats.org/markup-compatibility/2006">
          <mc:Choice Requires="x14">
            <control shapeId="2186" r:id="rId8" name="Check Box 138">
              <controlPr defaultSize="0" autoFill="0" autoLine="0" autoPict="0">
                <anchor moveWithCells="1">
                  <from>
                    <xdr:col>4</xdr:col>
                    <xdr:colOff>15240</xdr:colOff>
                    <xdr:row>46</xdr:row>
                    <xdr:rowOff>152400</xdr:rowOff>
                  </from>
                  <to>
                    <xdr:col>4</xdr:col>
                    <xdr:colOff>259080</xdr:colOff>
                    <xdr:row>48</xdr:row>
                    <xdr:rowOff>15240</xdr:rowOff>
                  </to>
                </anchor>
              </controlPr>
            </control>
          </mc:Choice>
        </mc:AlternateContent>
        <mc:AlternateContent xmlns:mc="http://schemas.openxmlformats.org/markup-compatibility/2006">
          <mc:Choice Requires="x14">
            <control shapeId="2187" r:id="rId9" name="Check Box 139">
              <controlPr defaultSize="0" autoFill="0" autoLine="0" autoPict="0">
                <anchor moveWithCells="1">
                  <from>
                    <xdr:col>4</xdr:col>
                    <xdr:colOff>15240</xdr:colOff>
                    <xdr:row>48</xdr:row>
                    <xdr:rowOff>167640</xdr:rowOff>
                  </from>
                  <to>
                    <xdr:col>4</xdr:col>
                    <xdr:colOff>259080</xdr:colOff>
                    <xdr:row>50</xdr:row>
                    <xdr:rowOff>22860</xdr:rowOff>
                  </to>
                </anchor>
              </controlPr>
            </control>
          </mc:Choice>
        </mc:AlternateContent>
        <mc:AlternateContent xmlns:mc="http://schemas.openxmlformats.org/markup-compatibility/2006">
          <mc:Choice Requires="x14">
            <control shapeId="2188" r:id="rId10" name="Check Box 140">
              <controlPr defaultSize="0" autoFill="0" autoLine="0" autoPict="0">
                <anchor moveWithCells="1">
                  <from>
                    <xdr:col>4</xdr:col>
                    <xdr:colOff>15240</xdr:colOff>
                    <xdr:row>49</xdr:row>
                    <xdr:rowOff>152400</xdr:rowOff>
                  </from>
                  <to>
                    <xdr:col>4</xdr:col>
                    <xdr:colOff>259080</xdr:colOff>
                    <xdr:row>51</xdr:row>
                    <xdr:rowOff>7620</xdr:rowOff>
                  </to>
                </anchor>
              </controlPr>
            </control>
          </mc:Choice>
        </mc:AlternateContent>
        <mc:AlternateContent xmlns:mc="http://schemas.openxmlformats.org/markup-compatibility/2006">
          <mc:Choice Requires="x14">
            <control shapeId="2189" r:id="rId11" name="Check Box 141">
              <controlPr defaultSize="0" autoFill="0" autoLine="0" autoPict="0">
                <anchor moveWithCells="1">
                  <from>
                    <xdr:col>4</xdr:col>
                    <xdr:colOff>7620</xdr:colOff>
                    <xdr:row>50</xdr:row>
                    <xdr:rowOff>152400</xdr:rowOff>
                  </from>
                  <to>
                    <xdr:col>4</xdr:col>
                    <xdr:colOff>251460</xdr:colOff>
                    <xdr:row>52</xdr:row>
                    <xdr:rowOff>0</xdr:rowOff>
                  </to>
                </anchor>
              </controlPr>
            </control>
          </mc:Choice>
        </mc:AlternateContent>
        <mc:AlternateContent xmlns:mc="http://schemas.openxmlformats.org/markup-compatibility/2006">
          <mc:Choice Requires="x14">
            <control shapeId="2190" r:id="rId12" name="Check Box 142">
              <controlPr defaultSize="0" autoFill="0" autoLine="0" autoPict="0">
                <anchor moveWithCells="1">
                  <from>
                    <xdr:col>4</xdr:col>
                    <xdr:colOff>7620</xdr:colOff>
                    <xdr:row>51</xdr:row>
                    <xdr:rowOff>160020</xdr:rowOff>
                  </from>
                  <to>
                    <xdr:col>4</xdr:col>
                    <xdr:colOff>251460</xdr:colOff>
                    <xdr:row>53</xdr:row>
                    <xdr:rowOff>15240</xdr:rowOff>
                  </to>
                </anchor>
              </controlPr>
            </control>
          </mc:Choice>
        </mc:AlternateContent>
        <mc:AlternateContent xmlns:mc="http://schemas.openxmlformats.org/markup-compatibility/2006">
          <mc:Choice Requires="x14">
            <control shapeId="2191" r:id="rId13" name="Check Box 143">
              <controlPr defaultSize="0" autoFill="0" autoLine="0" autoPict="0">
                <anchor moveWithCells="1">
                  <from>
                    <xdr:col>4</xdr:col>
                    <xdr:colOff>7620</xdr:colOff>
                    <xdr:row>52</xdr:row>
                    <xdr:rowOff>160020</xdr:rowOff>
                  </from>
                  <to>
                    <xdr:col>4</xdr:col>
                    <xdr:colOff>251460</xdr:colOff>
                    <xdr:row>54</xdr:row>
                    <xdr:rowOff>7620</xdr:rowOff>
                  </to>
                </anchor>
              </controlPr>
            </control>
          </mc:Choice>
        </mc:AlternateContent>
        <mc:AlternateContent xmlns:mc="http://schemas.openxmlformats.org/markup-compatibility/2006">
          <mc:Choice Requires="x14">
            <control shapeId="2192" r:id="rId14" name="Check Box 144">
              <controlPr defaultSize="0" autoFill="0" autoLine="0" autoPict="0">
                <anchor moveWithCells="1">
                  <from>
                    <xdr:col>7</xdr:col>
                    <xdr:colOff>30480</xdr:colOff>
                    <xdr:row>45</xdr:row>
                    <xdr:rowOff>99060</xdr:rowOff>
                  </from>
                  <to>
                    <xdr:col>7</xdr:col>
                    <xdr:colOff>274320</xdr:colOff>
                    <xdr:row>47</xdr:row>
                    <xdr:rowOff>15240</xdr:rowOff>
                  </to>
                </anchor>
              </controlPr>
            </control>
          </mc:Choice>
        </mc:AlternateContent>
        <mc:AlternateContent xmlns:mc="http://schemas.openxmlformats.org/markup-compatibility/2006">
          <mc:Choice Requires="x14">
            <control shapeId="2193" r:id="rId15" name="Check Box 145">
              <controlPr defaultSize="0" autoFill="0" autoLine="0" autoPict="0">
                <anchor moveWithCells="1">
                  <from>
                    <xdr:col>7</xdr:col>
                    <xdr:colOff>38100</xdr:colOff>
                    <xdr:row>46</xdr:row>
                    <xdr:rowOff>152400</xdr:rowOff>
                  </from>
                  <to>
                    <xdr:col>7</xdr:col>
                    <xdr:colOff>281940</xdr:colOff>
                    <xdr:row>48</xdr:row>
                    <xdr:rowOff>7620</xdr:rowOff>
                  </to>
                </anchor>
              </controlPr>
            </control>
          </mc:Choice>
        </mc:AlternateContent>
        <mc:AlternateContent xmlns:mc="http://schemas.openxmlformats.org/markup-compatibility/2006">
          <mc:Choice Requires="x14">
            <control shapeId="2194" r:id="rId16" name="Check Box 146">
              <controlPr defaultSize="0" autoFill="0" autoLine="0" autoPict="0">
                <anchor moveWithCells="1">
                  <from>
                    <xdr:col>7</xdr:col>
                    <xdr:colOff>38100</xdr:colOff>
                    <xdr:row>47</xdr:row>
                    <xdr:rowOff>152400</xdr:rowOff>
                  </from>
                  <to>
                    <xdr:col>7</xdr:col>
                    <xdr:colOff>281940</xdr:colOff>
                    <xdr:row>49</xdr:row>
                    <xdr:rowOff>15240</xdr:rowOff>
                  </to>
                </anchor>
              </controlPr>
            </control>
          </mc:Choice>
        </mc:AlternateContent>
        <mc:AlternateContent xmlns:mc="http://schemas.openxmlformats.org/markup-compatibility/2006">
          <mc:Choice Requires="x14">
            <control shapeId="2195" r:id="rId17" name="Check Box 147">
              <controlPr defaultSize="0" autoFill="0" autoLine="0" autoPict="0">
                <anchor moveWithCells="1">
                  <from>
                    <xdr:col>7</xdr:col>
                    <xdr:colOff>38100</xdr:colOff>
                    <xdr:row>48</xdr:row>
                    <xdr:rowOff>152400</xdr:rowOff>
                  </from>
                  <to>
                    <xdr:col>7</xdr:col>
                    <xdr:colOff>281940</xdr:colOff>
                    <xdr:row>50</xdr:row>
                    <xdr:rowOff>15240</xdr:rowOff>
                  </to>
                </anchor>
              </controlPr>
            </control>
          </mc:Choice>
        </mc:AlternateContent>
        <mc:AlternateContent xmlns:mc="http://schemas.openxmlformats.org/markup-compatibility/2006">
          <mc:Choice Requires="x14">
            <control shapeId="2196" r:id="rId18" name="Check Box 148">
              <controlPr defaultSize="0" autoFill="0" autoLine="0" autoPict="0">
                <anchor moveWithCells="1">
                  <from>
                    <xdr:col>7</xdr:col>
                    <xdr:colOff>38100</xdr:colOff>
                    <xdr:row>49</xdr:row>
                    <xdr:rowOff>152400</xdr:rowOff>
                  </from>
                  <to>
                    <xdr:col>7</xdr:col>
                    <xdr:colOff>281940</xdr:colOff>
                    <xdr:row>51</xdr:row>
                    <xdr:rowOff>7620</xdr:rowOff>
                  </to>
                </anchor>
              </controlPr>
            </control>
          </mc:Choice>
        </mc:AlternateContent>
        <mc:AlternateContent xmlns:mc="http://schemas.openxmlformats.org/markup-compatibility/2006">
          <mc:Choice Requires="x14">
            <control shapeId="2197" r:id="rId19" name="Check Box 149">
              <controlPr defaultSize="0" autoFill="0" autoLine="0" autoPict="0">
                <anchor moveWithCells="1">
                  <from>
                    <xdr:col>7</xdr:col>
                    <xdr:colOff>38100</xdr:colOff>
                    <xdr:row>50</xdr:row>
                    <xdr:rowOff>152400</xdr:rowOff>
                  </from>
                  <to>
                    <xdr:col>7</xdr:col>
                    <xdr:colOff>281940</xdr:colOff>
                    <xdr:row>52</xdr:row>
                    <xdr:rowOff>0</xdr:rowOff>
                  </to>
                </anchor>
              </controlPr>
            </control>
          </mc:Choice>
        </mc:AlternateContent>
        <mc:AlternateContent xmlns:mc="http://schemas.openxmlformats.org/markup-compatibility/2006">
          <mc:Choice Requires="x14">
            <control shapeId="2202" r:id="rId20" name="Check Box 154">
              <controlPr defaultSize="0" autoFill="0" autoLine="0" autoPict="0">
                <anchor moveWithCells="1">
                  <from>
                    <xdr:col>4</xdr:col>
                    <xdr:colOff>15240</xdr:colOff>
                    <xdr:row>74</xdr:row>
                    <xdr:rowOff>99060</xdr:rowOff>
                  </from>
                  <to>
                    <xdr:col>4</xdr:col>
                    <xdr:colOff>259080</xdr:colOff>
                    <xdr:row>76</xdr:row>
                    <xdr:rowOff>15240</xdr:rowOff>
                  </to>
                </anchor>
              </controlPr>
            </control>
          </mc:Choice>
        </mc:AlternateContent>
        <mc:AlternateContent xmlns:mc="http://schemas.openxmlformats.org/markup-compatibility/2006">
          <mc:Choice Requires="x14">
            <control shapeId="2203" r:id="rId21" name="Check Box 155">
              <controlPr defaultSize="0" autoFill="0" autoLine="0" autoPict="0">
                <anchor moveWithCells="1">
                  <from>
                    <xdr:col>4</xdr:col>
                    <xdr:colOff>15240</xdr:colOff>
                    <xdr:row>75</xdr:row>
                    <xdr:rowOff>167640</xdr:rowOff>
                  </from>
                  <to>
                    <xdr:col>4</xdr:col>
                    <xdr:colOff>259080</xdr:colOff>
                    <xdr:row>77</xdr:row>
                    <xdr:rowOff>22860</xdr:rowOff>
                  </to>
                </anchor>
              </controlPr>
            </control>
          </mc:Choice>
        </mc:AlternateContent>
        <mc:AlternateContent xmlns:mc="http://schemas.openxmlformats.org/markup-compatibility/2006">
          <mc:Choice Requires="x14">
            <control shapeId="2204" r:id="rId22" name="Check Box 156">
              <controlPr defaultSize="0" autoFill="0" autoLine="0" autoPict="0">
                <anchor moveWithCells="1">
                  <from>
                    <xdr:col>4</xdr:col>
                    <xdr:colOff>15240</xdr:colOff>
                    <xdr:row>76</xdr:row>
                    <xdr:rowOff>167640</xdr:rowOff>
                  </from>
                  <to>
                    <xdr:col>4</xdr:col>
                    <xdr:colOff>259080</xdr:colOff>
                    <xdr:row>78</xdr:row>
                    <xdr:rowOff>22860</xdr:rowOff>
                  </to>
                </anchor>
              </controlPr>
            </control>
          </mc:Choice>
        </mc:AlternateContent>
        <mc:AlternateContent xmlns:mc="http://schemas.openxmlformats.org/markup-compatibility/2006">
          <mc:Choice Requires="x14">
            <control shapeId="2205" r:id="rId23" name="Check Box 157">
              <controlPr defaultSize="0" autoFill="0" autoLine="0" autoPict="0">
                <anchor moveWithCells="1">
                  <from>
                    <xdr:col>4</xdr:col>
                    <xdr:colOff>15240</xdr:colOff>
                    <xdr:row>77</xdr:row>
                    <xdr:rowOff>160020</xdr:rowOff>
                  </from>
                  <to>
                    <xdr:col>4</xdr:col>
                    <xdr:colOff>259080</xdr:colOff>
                    <xdr:row>79</xdr:row>
                    <xdr:rowOff>15240</xdr:rowOff>
                  </to>
                </anchor>
              </controlPr>
            </control>
          </mc:Choice>
        </mc:AlternateContent>
        <mc:AlternateContent xmlns:mc="http://schemas.openxmlformats.org/markup-compatibility/2006">
          <mc:Choice Requires="x14">
            <control shapeId="2206" r:id="rId24" name="Check Box 158">
              <controlPr defaultSize="0" autoFill="0" autoLine="0" autoPict="0">
                <anchor moveWithCells="1">
                  <from>
                    <xdr:col>4</xdr:col>
                    <xdr:colOff>15240</xdr:colOff>
                    <xdr:row>78</xdr:row>
                    <xdr:rowOff>152400</xdr:rowOff>
                  </from>
                  <to>
                    <xdr:col>4</xdr:col>
                    <xdr:colOff>259080</xdr:colOff>
                    <xdr:row>80</xdr:row>
                    <xdr:rowOff>7620</xdr:rowOff>
                  </to>
                </anchor>
              </controlPr>
            </control>
          </mc:Choice>
        </mc:AlternateContent>
        <mc:AlternateContent xmlns:mc="http://schemas.openxmlformats.org/markup-compatibility/2006">
          <mc:Choice Requires="x14">
            <control shapeId="2207" r:id="rId25" name="Check Box 159">
              <controlPr defaultSize="0" autoFill="0" autoLine="0" autoPict="0">
                <anchor moveWithCells="1">
                  <from>
                    <xdr:col>4</xdr:col>
                    <xdr:colOff>7620</xdr:colOff>
                    <xdr:row>79</xdr:row>
                    <xdr:rowOff>160020</xdr:rowOff>
                  </from>
                  <to>
                    <xdr:col>4</xdr:col>
                    <xdr:colOff>251460</xdr:colOff>
                    <xdr:row>81</xdr:row>
                    <xdr:rowOff>15240</xdr:rowOff>
                  </to>
                </anchor>
              </controlPr>
            </control>
          </mc:Choice>
        </mc:AlternateContent>
        <mc:AlternateContent xmlns:mc="http://schemas.openxmlformats.org/markup-compatibility/2006">
          <mc:Choice Requires="x14">
            <control shapeId="2208" r:id="rId26" name="Check Box 160">
              <controlPr defaultSize="0" autoFill="0" autoLine="0" autoPict="0">
                <anchor moveWithCells="1">
                  <from>
                    <xdr:col>4</xdr:col>
                    <xdr:colOff>7620</xdr:colOff>
                    <xdr:row>80</xdr:row>
                    <xdr:rowOff>152400</xdr:rowOff>
                  </from>
                  <to>
                    <xdr:col>4</xdr:col>
                    <xdr:colOff>251460</xdr:colOff>
                    <xdr:row>82</xdr:row>
                    <xdr:rowOff>7620</xdr:rowOff>
                  </to>
                </anchor>
              </controlPr>
            </control>
          </mc:Choice>
        </mc:AlternateContent>
        <mc:AlternateContent xmlns:mc="http://schemas.openxmlformats.org/markup-compatibility/2006">
          <mc:Choice Requires="x14">
            <control shapeId="2209" r:id="rId27" name="Check Box 161">
              <controlPr defaultSize="0" autoFill="0" autoLine="0" autoPict="0">
                <anchor moveWithCells="1">
                  <from>
                    <xdr:col>4</xdr:col>
                    <xdr:colOff>7620</xdr:colOff>
                    <xdr:row>81</xdr:row>
                    <xdr:rowOff>160020</xdr:rowOff>
                  </from>
                  <to>
                    <xdr:col>4</xdr:col>
                    <xdr:colOff>251460</xdr:colOff>
                    <xdr:row>83</xdr:row>
                    <xdr:rowOff>15240</xdr:rowOff>
                  </to>
                </anchor>
              </controlPr>
            </control>
          </mc:Choice>
        </mc:AlternateContent>
        <mc:AlternateContent xmlns:mc="http://schemas.openxmlformats.org/markup-compatibility/2006">
          <mc:Choice Requires="x14">
            <control shapeId="2215" r:id="rId28" name="Check Box 167">
              <controlPr defaultSize="0" autoFill="0" autoLine="0" autoPict="0">
                <anchor moveWithCells="1">
                  <from>
                    <xdr:col>4</xdr:col>
                    <xdr:colOff>30480</xdr:colOff>
                    <xdr:row>91</xdr:row>
                    <xdr:rowOff>106680</xdr:rowOff>
                  </from>
                  <to>
                    <xdr:col>4</xdr:col>
                    <xdr:colOff>274320</xdr:colOff>
                    <xdr:row>93</xdr:row>
                    <xdr:rowOff>22860</xdr:rowOff>
                  </to>
                </anchor>
              </controlPr>
            </control>
          </mc:Choice>
        </mc:AlternateContent>
        <mc:AlternateContent xmlns:mc="http://schemas.openxmlformats.org/markup-compatibility/2006">
          <mc:Choice Requires="x14">
            <control shapeId="2216" r:id="rId29" name="Check Box 168">
              <controlPr defaultSize="0" autoFill="0" autoLine="0" autoPict="0">
                <anchor moveWithCells="1">
                  <from>
                    <xdr:col>4</xdr:col>
                    <xdr:colOff>30480</xdr:colOff>
                    <xdr:row>92</xdr:row>
                    <xdr:rowOff>160020</xdr:rowOff>
                  </from>
                  <to>
                    <xdr:col>4</xdr:col>
                    <xdr:colOff>274320</xdr:colOff>
                    <xdr:row>94</xdr:row>
                    <xdr:rowOff>15240</xdr:rowOff>
                  </to>
                </anchor>
              </controlPr>
            </control>
          </mc:Choice>
        </mc:AlternateContent>
        <mc:AlternateContent xmlns:mc="http://schemas.openxmlformats.org/markup-compatibility/2006">
          <mc:Choice Requires="x14">
            <control shapeId="2217" r:id="rId30" name="Check Box 169">
              <controlPr defaultSize="0" autoFill="0" autoLine="0" autoPict="0">
                <anchor moveWithCells="1">
                  <from>
                    <xdr:col>4</xdr:col>
                    <xdr:colOff>30480</xdr:colOff>
                    <xdr:row>93</xdr:row>
                    <xdr:rowOff>167640</xdr:rowOff>
                  </from>
                  <to>
                    <xdr:col>4</xdr:col>
                    <xdr:colOff>274320</xdr:colOff>
                    <xdr:row>95</xdr:row>
                    <xdr:rowOff>22860</xdr:rowOff>
                  </to>
                </anchor>
              </controlPr>
            </control>
          </mc:Choice>
        </mc:AlternateContent>
        <mc:AlternateContent xmlns:mc="http://schemas.openxmlformats.org/markup-compatibility/2006">
          <mc:Choice Requires="x14">
            <control shapeId="2218" r:id="rId31" name="Check Box 170">
              <controlPr defaultSize="0" autoFill="0" autoLine="0" autoPict="0">
                <anchor moveWithCells="1">
                  <from>
                    <xdr:col>4</xdr:col>
                    <xdr:colOff>30480</xdr:colOff>
                    <xdr:row>94</xdr:row>
                    <xdr:rowOff>167640</xdr:rowOff>
                  </from>
                  <to>
                    <xdr:col>4</xdr:col>
                    <xdr:colOff>274320</xdr:colOff>
                    <xdr:row>96</xdr:row>
                    <xdr:rowOff>22860</xdr:rowOff>
                  </to>
                </anchor>
              </controlPr>
            </control>
          </mc:Choice>
        </mc:AlternateContent>
        <mc:AlternateContent xmlns:mc="http://schemas.openxmlformats.org/markup-compatibility/2006">
          <mc:Choice Requires="x14">
            <control shapeId="2231" r:id="rId32" name="Check Box 183">
              <controlPr defaultSize="0" autoFill="0" autoLine="0" autoPict="0">
                <anchor moveWithCells="1">
                  <from>
                    <xdr:col>4</xdr:col>
                    <xdr:colOff>167640</xdr:colOff>
                    <xdr:row>119</xdr:row>
                    <xdr:rowOff>7620</xdr:rowOff>
                  </from>
                  <to>
                    <xdr:col>4</xdr:col>
                    <xdr:colOff>411480</xdr:colOff>
                    <xdr:row>120</xdr:row>
                    <xdr:rowOff>45720</xdr:rowOff>
                  </to>
                </anchor>
              </controlPr>
            </control>
          </mc:Choice>
        </mc:AlternateContent>
        <mc:AlternateContent xmlns:mc="http://schemas.openxmlformats.org/markup-compatibility/2006">
          <mc:Choice Requires="x14">
            <control shapeId="2244" r:id="rId33" name="Check Box 196">
              <controlPr defaultSize="0" autoFill="0" autoLine="0" autoPict="0">
                <anchor moveWithCells="1">
                  <from>
                    <xdr:col>4</xdr:col>
                    <xdr:colOff>868680</xdr:colOff>
                    <xdr:row>34</xdr:row>
                    <xdr:rowOff>99060</xdr:rowOff>
                  </from>
                  <to>
                    <xdr:col>5</xdr:col>
                    <xdr:colOff>236220</xdr:colOff>
                    <xdr:row>36</xdr:row>
                    <xdr:rowOff>15240</xdr:rowOff>
                  </to>
                </anchor>
              </controlPr>
            </control>
          </mc:Choice>
        </mc:AlternateContent>
        <mc:AlternateContent xmlns:mc="http://schemas.openxmlformats.org/markup-compatibility/2006">
          <mc:Choice Requires="x14">
            <control shapeId="2245" r:id="rId34" name="Check Box 197">
              <controlPr defaultSize="0" autoFill="0" autoLine="0" autoPict="0">
                <anchor moveWithCells="1">
                  <from>
                    <xdr:col>5</xdr:col>
                    <xdr:colOff>0</xdr:colOff>
                    <xdr:row>35</xdr:row>
                    <xdr:rowOff>152400</xdr:rowOff>
                  </from>
                  <to>
                    <xdr:col>5</xdr:col>
                    <xdr:colOff>243840</xdr:colOff>
                    <xdr:row>37</xdr:row>
                    <xdr:rowOff>7620</xdr:rowOff>
                  </to>
                </anchor>
              </controlPr>
            </control>
          </mc:Choice>
        </mc:AlternateContent>
        <mc:AlternateContent xmlns:mc="http://schemas.openxmlformats.org/markup-compatibility/2006">
          <mc:Choice Requires="x14">
            <control shapeId="2246" r:id="rId35" name="Check Box 198">
              <controlPr defaultSize="0" autoFill="0" autoLine="0" autoPict="0">
                <anchor moveWithCells="1">
                  <from>
                    <xdr:col>5</xdr:col>
                    <xdr:colOff>0</xdr:colOff>
                    <xdr:row>36</xdr:row>
                    <xdr:rowOff>167640</xdr:rowOff>
                  </from>
                  <to>
                    <xdr:col>5</xdr:col>
                    <xdr:colOff>243840</xdr:colOff>
                    <xdr:row>38</xdr:row>
                    <xdr:rowOff>22860</xdr:rowOff>
                  </to>
                </anchor>
              </controlPr>
            </control>
          </mc:Choice>
        </mc:AlternateContent>
        <mc:AlternateContent xmlns:mc="http://schemas.openxmlformats.org/markup-compatibility/2006">
          <mc:Choice Requires="x14">
            <control shapeId="2247" r:id="rId36" name="Check Box 199">
              <controlPr defaultSize="0" autoFill="0" autoLine="0" autoPict="0">
                <anchor moveWithCells="1">
                  <from>
                    <xdr:col>5</xdr:col>
                    <xdr:colOff>0</xdr:colOff>
                    <xdr:row>37</xdr:row>
                    <xdr:rowOff>160020</xdr:rowOff>
                  </from>
                  <to>
                    <xdr:col>5</xdr:col>
                    <xdr:colOff>243840</xdr:colOff>
                    <xdr:row>39</xdr:row>
                    <xdr:rowOff>15240</xdr:rowOff>
                  </to>
                </anchor>
              </controlPr>
            </control>
          </mc:Choice>
        </mc:AlternateContent>
        <mc:AlternateContent xmlns:mc="http://schemas.openxmlformats.org/markup-compatibility/2006">
          <mc:Choice Requires="x14">
            <control shapeId="2248" r:id="rId37" name="Check Box 200">
              <controlPr defaultSize="0" autoFill="0" autoLine="0" autoPict="0">
                <anchor moveWithCells="1">
                  <from>
                    <xdr:col>5</xdr:col>
                    <xdr:colOff>0</xdr:colOff>
                    <xdr:row>38</xdr:row>
                    <xdr:rowOff>160020</xdr:rowOff>
                  </from>
                  <to>
                    <xdr:col>5</xdr:col>
                    <xdr:colOff>243840</xdr:colOff>
                    <xdr:row>40</xdr:row>
                    <xdr:rowOff>15240</xdr:rowOff>
                  </to>
                </anchor>
              </controlPr>
            </control>
          </mc:Choice>
        </mc:AlternateContent>
        <mc:AlternateContent xmlns:mc="http://schemas.openxmlformats.org/markup-compatibility/2006">
          <mc:Choice Requires="x14">
            <control shapeId="2249" r:id="rId38" name="Check Box 201">
              <controlPr defaultSize="0" autoFill="0" autoLine="0" autoPict="0">
                <anchor moveWithCells="1">
                  <from>
                    <xdr:col>5</xdr:col>
                    <xdr:colOff>0</xdr:colOff>
                    <xdr:row>39</xdr:row>
                    <xdr:rowOff>152400</xdr:rowOff>
                  </from>
                  <to>
                    <xdr:col>5</xdr:col>
                    <xdr:colOff>243840</xdr:colOff>
                    <xdr:row>41</xdr:row>
                    <xdr:rowOff>7620</xdr:rowOff>
                  </to>
                </anchor>
              </controlPr>
            </control>
          </mc:Choice>
        </mc:AlternateContent>
        <mc:AlternateContent xmlns:mc="http://schemas.openxmlformats.org/markup-compatibility/2006">
          <mc:Choice Requires="x14">
            <control shapeId="2250" r:id="rId39" name="Check Box 202">
              <controlPr defaultSize="0" autoFill="0" autoLine="0" autoPict="0">
                <anchor moveWithCells="1">
                  <from>
                    <xdr:col>5</xdr:col>
                    <xdr:colOff>0</xdr:colOff>
                    <xdr:row>40</xdr:row>
                    <xdr:rowOff>152400</xdr:rowOff>
                  </from>
                  <to>
                    <xdr:col>5</xdr:col>
                    <xdr:colOff>243840</xdr:colOff>
                    <xdr:row>42</xdr:row>
                    <xdr:rowOff>7620</xdr:rowOff>
                  </to>
                </anchor>
              </controlPr>
            </control>
          </mc:Choice>
        </mc:AlternateContent>
        <mc:AlternateContent xmlns:mc="http://schemas.openxmlformats.org/markup-compatibility/2006">
          <mc:Choice Requires="x14">
            <control shapeId="2251" r:id="rId40" name="Check Box 203">
              <controlPr defaultSize="0" autoFill="0" autoLine="0" autoPict="0">
                <anchor moveWithCells="1">
                  <from>
                    <xdr:col>5</xdr:col>
                    <xdr:colOff>7620</xdr:colOff>
                    <xdr:row>41</xdr:row>
                    <xdr:rowOff>160020</xdr:rowOff>
                  </from>
                  <to>
                    <xdr:col>5</xdr:col>
                    <xdr:colOff>251460</xdr:colOff>
                    <xdr:row>43</xdr:row>
                    <xdr:rowOff>15240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7DF49575-E899-4C0D-B206-BA060EEA9768}">
          <x14:formula1>
            <xm:f>choices!$I$2:$I$15</xm:f>
          </x14:formula1>
          <xm:sqref>D4:F4</xm:sqref>
        </x14:dataValidation>
        <x14:dataValidation type="list" allowBlank="1" showInputMessage="1" showErrorMessage="1" xr:uid="{E6114FDE-E6B4-4412-AA53-F1366D2D3853}">
          <x14:formula1>
            <xm:f>choices!$M$2:$M$6</xm:f>
          </x14:formula1>
          <xm:sqref>C16 F16 I20 C20 C24 C28 C32 F20 F24 F28 F32 I16 I24 I28 I32</xm:sqref>
        </x14:dataValidation>
        <x14:dataValidation type="list" allowBlank="1" showInputMessage="1" showErrorMessage="1" xr:uid="{C36F0E1A-6915-47D1-86CF-9B5BE999077A}">
          <x14:formula1>
            <xm:f>choices!$K$2:$K$44</xm:f>
          </x14:formula1>
          <xm:sqref>B16 E16 H20 B20 B24 B28 B32 E20 E24 E28 E32 H16 H24 H28 H32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3C33E9-574F-4386-AAFC-CCB295432E29}">
  <sheetPr codeName="Sheet2"/>
  <dimension ref="A1:AD44"/>
  <sheetViews>
    <sheetView showGridLines="0" topLeftCell="J1" workbookViewId="0">
      <selection activeCell="P22" sqref="P22"/>
    </sheetView>
  </sheetViews>
  <sheetFormatPr defaultRowHeight="14.4" x14ac:dyDescent="0.3"/>
  <cols>
    <col min="1" max="1" width="22.6640625" bestFit="1" customWidth="1"/>
    <col min="2" max="2" width="2.44140625" customWidth="1"/>
    <col min="3" max="3" width="25.109375" customWidth="1"/>
    <col min="4" max="4" width="2.5546875" customWidth="1"/>
    <col min="5" max="5" width="16.33203125" customWidth="1"/>
    <col min="6" max="6" width="2.6640625" customWidth="1"/>
    <col min="7" max="7" width="19" bestFit="1" customWidth="1"/>
    <col min="8" max="8" width="3.33203125" customWidth="1"/>
    <col min="9" max="9" width="20.88671875" customWidth="1"/>
    <col min="10" max="10" width="3.6640625" customWidth="1"/>
    <col min="11" max="11" width="11.88671875" bestFit="1" customWidth="1"/>
    <col min="12" max="12" width="3" customWidth="1"/>
    <col min="13" max="13" width="19.44140625" bestFit="1" customWidth="1"/>
    <col min="14" max="14" width="6.6640625" style="5" customWidth="1"/>
    <col min="15" max="15" width="3.5546875" customWidth="1"/>
    <col min="16" max="16" width="12.88671875" bestFit="1" customWidth="1"/>
    <col min="17" max="17" width="3.5546875" customWidth="1"/>
    <col min="18" max="18" width="47.88671875" style="5" customWidth="1"/>
    <col min="19" max="19" width="25" style="5" customWidth="1"/>
    <col min="20" max="20" width="3.5546875" style="5" customWidth="1"/>
    <col min="21" max="21" width="22" style="1" customWidth="1"/>
    <col min="22" max="22" width="12.88671875" style="1" bestFit="1" customWidth="1"/>
    <col min="23" max="23" width="39.33203125" style="1" customWidth="1"/>
    <col min="24" max="24" width="23" style="1" customWidth="1"/>
    <col min="25" max="25" width="23.88671875" customWidth="1"/>
    <col min="26" max="26" width="22.88671875" customWidth="1"/>
    <col min="27" max="27" width="21.21875" customWidth="1"/>
    <col min="28" max="28" width="25.88671875" customWidth="1"/>
  </cols>
  <sheetData>
    <row r="1" spans="1:30" ht="28.8" customHeight="1" x14ac:dyDescent="0.3">
      <c r="A1" s="3" t="s">
        <v>6</v>
      </c>
      <c r="C1" s="3" t="s">
        <v>30</v>
      </c>
      <c r="E1" s="3" t="s">
        <v>15</v>
      </c>
      <c r="G1" s="3" t="s">
        <v>15</v>
      </c>
      <c r="I1" s="3" t="s">
        <v>66</v>
      </c>
      <c r="K1" s="3" t="s">
        <v>72</v>
      </c>
      <c r="M1" s="3" t="s">
        <v>116</v>
      </c>
      <c r="N1" s="3"/>
      <c r="P1" s="9" t="s">
        <v>128</v>
      </c>
      <c r="R1" s="21" t="s">
        <v>193</v>
      </c>
      <c r="S1" s="21" t="s">
        <v>192</v>
      </c>
      <c r="U1" s="230" t="s">
        <v>135</v>
      </c>
      <c r="V1" s="230"/>
      <c r="W1" s="230"/>
      <c r="X1" s="230"/>
      <c r="Y1" s="230"/>
      <c r="Z1" s="230"/>
      <c r="AA1" s="230"/>
      <c r="AB1" s="230"/>
    </row>
    <row r="2" spans="1:30" x14ac:dyDescent="0.3">
      <c r="A2" s="7" t="s">
        <v>175</v>
      </c>
      <c r="C2" s="2" t="s">
        <v>31</v>
      </c>
      <c r="E2" s="2" t="s">
        <v>40</v>
      </c>
      <c r="G2" s="2" t="s">
        <v>41</v>
      </c>
      <c r="I2" s="2" t="s">
        <v>54</v>
      </c>
      <c r="K2" s="2" t="s">
        <v>73</v>
      </c>
      <c r="M2" s="2" t="s">
        <v>117</v>
      </c>
      <c r="N2" s="2">
        <v>5</v>
      </c>
      <c r="P2" s="6" t="s">
        <v>122</v>
      </c>
      <c r="R2" s="16" t="s">
        <v>137</v>
      </c>
      <c r="S2" s="16" t="s">
        <v>136</v>
      </c>
    </row>
    <row r="3" spans="1:30" x14ac:dyDescent="0.3">
      <c r="A3" s="7" t="s">
        <v>158</v>
      </c>
      <c r="C3" s="2" t="s">
        <v>32</v>
      </c>
      <c r="E3" s="2" t="s">
        <v>39</v>
      </c>
      <c r="G3" s="2" t="s">
        <v>42</v>
      </c>
      <c r="I3" s="2" t="s">
        <v>53</v>
      </c>
      <c r="K3" s="2" t="s">
        <v>74</v>
      </c>
      <c r="M3" s="2" t="s">
        <v>118</v>
      </c>
      <c r="N3" s="2">
        <v>4</v>
      </c>
      <c r="P3" s="10" t="s">
        <v>129</v>
      </c>
      <c r="R3" s="16" t="s">
        <v>140</v>
      </c>
      <c r="S3" s="16" t="s">
        <v>138</v>
      </c>
      <c r="U3" s="12" t="s">
        <v>136</v>
      </c>
      <c r="V3" s="12" t="s">
        <v>229</v>
      </c>
      <c r="W3" s="12" t="s">
        <v>138</v>
      </c>
      <c r="X3" s="12" t="s">
        <v>139</v>
      </c>
      <c r="Y3" s="13" t="s">
        <v>142</v>
      </c>
      <c r="Z3" s="13" t="s">
        <v>144</v>
      </c>
      <c r="AA3" s="13" t="s">
        <v>146</v>
      </c>
      <c r="AB3" s="13" t="s">
        <v>148</v>
      </c>
      <c r="AC3" s="13" t="s">
        <v>195</v>
      </c>
      <c r="AD3" s="29"/>
    </row>
    <row r="4" spans="1:30" ht="43.2" x14ac:dyDescent="0.3">
      <c r="A4" s="7" t="s">
        <v>159</v>
      </c>
      <c r="C4" s="2" t="s">
        <v>33</v>
      </c>
      <c r="G4" s="2" t="s">
        <v>43</v>
      </c>
      <c r="I4" s="2" t="s">
        <v>63</v>
      </c>
      <c r="K4" s="2" t="s">
        <v>75</v>
      </c>
      <c r="M4" s="2" t="s">
        <v>119</v>
      </c>
      <c r="N4" s="2">
        <v>3</v>
      </c>
      <c r="P4" s="10" t="s">
        <v>123</v>
      </c>
      <c r="R4" s="16" t="s">
        <v>141</v>
      </c>
      <c r="S4" s="16" t="s">
        <v>139</v>
      </c>
      <c r="U4" s="14" t="s">
        <v>137</v>
      </c>
      <c r="V4" s="14">
        <v>9</v>
      </c>
      <c r="W4" s="14" t="s">
        <v>140</v>
      </c>
      <c r="X4" s="14" t="s">
        <v>141</v>
      </c>
      <c r="Y4" s="4" t="s">
        <v>143</v>
      </c>
      <c r="Z4" s="4" t="s">
        <v>145</v>
      </c>
      <c r="AA4" s="4" t="s">
        <v>147</v>
      </c>
      <c r="AB4" s="4" t="s">
        <v>149</v>
      </c>
      <c r="AC4" s="22" t="s">
        <v>198</v>
      </c>
    </row>
    <row r="5" spans="1:30" x14ac:dyDescent="0.3">
      <c r="A5" s="7" t="s">
        <v>23</v>
      </c>
      <c r="C5" s="2" t="s">
        <v>34</v>
      </c>
      <c r="G5" s="2" t="s">
        <v>44</v>
      </c>
      <c r="I5" s="2" t="s">
        <v>55</v>
      </c>
      <c r="K5" s="2" t="s">
        <v>76</v>
      </c>
      <c r="M5" s="2" t="s">
        <v>120</v>
      </c>
      <c r="N5" s="2">
        <v>2</v>
      </c>
      <c r="P5" s="6" t="s">
        <v>124</v>
      </c>
      <c r="R5" s="20" t="s">
        <v>143</v>
      </c>
      <c r="S5" s="20" t="s">
        <v>142</v>
      </c>
      <c r="U5" s="15" t="s">
        <v>150</v>
      </c>
      <c r="V5" s="15">
        <v>8</v>
      </c>
      <c r="W5" s="15" t="s">
        <v>24</v>
      </c>
      <c r="X5" s="15" t="s">
        <v>31</v>
      </c>
      <c r="Y5" s="19" t="s">
        <v>179</v>
      </c>
      <c r="Z5" s="17" t="s">
        <v>182</v>
      </c>
      <c r="AA5" s="17" t="s">
        <v>186</v>
      </c>
      <c r="AB5" s="17" t="s">
        <v>189</v>
      </c>
      <c r="AC5" s="22" t="s">
        <v>197</v>
      </c>
    </row>
    <row r="6" spans="1:30" x14ac:dyDescent="0.3">
      <c r="A6" s="7" t="s">
        <v>160</v>
      </c>
      <c r="C6" s="2" t="s">
        <v>35</v>
      </c>
      <c r="G6" s="2" t="s">
        <v>45</v>
      </c>
      <c r="I6" s="2" t="s">
        <v>57</v>
      </c>
      <c r="K6" s="2" t="s">
        <v>77</v>
      </c>
      <c r="M6" s="2" t="s">
        <v>121</v>
      </c>
      <c r="N6" s="2">
        <v>1</v>
      </c>
      <c r="P6" s="6" t="s">
        <v>130</v>
      </c>
      <c r="R6" s="20" t="s">
        <v>194</v>
      </c>
      <c r="S6" s="20" t="s">
        <v>144</v>
      </c>
      <c r="U6" s="15" t="s">
        <v>151</v>
      </c>
      <c r="V6" s="15">
        <v>7</v>
      </c>
      <c r="W6" s="15" t="s">
        <v>29</v>
      </c>
      <c r="X6" s="15" t="s">
        <v>32</v>
      </c>
      <c r="Y6" s="19" t="s">
        <v>180</v>
      </c>
      <c r="Z6" s="17" t="s">
        <v>184</v>
      </c>
      <c r="AA6" s="17" t="s">
        <v>187</v>
      </c>
      <c r="AB6" s="17" t="s">
        <v>190</v>
      </c>
      <c r="AC6" s="8" t="s">
        <v>196</v>
      </c>
    </row>
    <row r="7" spans="1:30" ht="28.8" x14ac:dyDescent="0.3">
      <c r="A7" s="7" t="s">
        <v>161</v>
      </c>
      <c r="C7" s="2" t="s">
        <v>36</v>
      </c>
      <c r="G7" s="2" t="s">
        <v>46</v>
      </c>
      <c r="I7" s="2" t="s">
        <v>65</v>
      </c>
      <c r="K7" s="2" t="s">
        <v>78</v>
      </c>
      <c r="P7" s="6" t="s">
        <v>125</v>
      </c>
      <c r="R7" s="20" t="s">
        <v>147</v>
      </c>
      <c r="S7" s="20" t="s">
        <v>146</v>
      </c>
      <c r="U7" s="15" t="s">
        <v>152</v>
      </c>
      <c r="V7" s="15">
        <v>6</v>
      </c>
      <c r="W7" s="15" t="s">
        <v>21</v>
      </c>
      <c r="X7" s="15" t="s">
        <v>35</v>
      </c>
      <c r="Y7" s="19" t="s">
        <v>181</v>
      </c>
      <c r="Z7" s="17" t="s">
        <v>183</v>
      </c>
      <c r="AA7" s="17" t="s">
        <v>188</v>
      </c>
      <c r="AB7" s="17" t="s">
        <v>191</v>
      </c>
      <c r="AC7" s="38"/>
      <c r="AD7" s="24"/>
    </row>
    <row r="8" spans="1:30" ht="28.8" x14ac:dyDescent="0.3">
      <c r="A8" s="7" t="s">
        <v>20</v>
      </c>
      <c r="C8" s="2" t="s">
        <v>37</v>
      </c>
      <c r="G8" s="2" t="s">
        <v>47</v>
      </c>
      <c r="I8" s="2" t="s">
        <v>58</v>
      </c>
      <c r="K8" s="2" t="s">
        <v>79</v>
      </c>
      <c r="P8" s="6" t="s">
        <v>131</v>
      </c>
      <c r="R8" s="20" t="s">
        <v>149</v>
      </c>
      <c r="S8" s="20" t="s">
        <v>148</v>
      </c>
      <c r="U8" s="15" t="s">
        <v>153</v>
      </c>
      <c r="V8" s="15">
        <v>5</v>
      </c>
      <c r="W8" s="15" t="s">
        <v>28</v>
      </c>
      <c r="X8" s="15" t="s">
        <v>178</v>
      </c>
      <c r="Y8" s="18"/>
      <c r="Z8" s="17" t="s">
        <v>185</v>
      </c>
      <c r="AA8" s="18"/>
      <c r="AB8" s="18"/>
    </row>
    <row r="9" spans="1:30" x14ac:dyDescent="0.3">
      <c r="A9" s="7" t="s">
        <v>162</v>
      </c>
      <c r="C9" s="2" t="s">
        <v>38</v>
      </c>
      <c r="I9" s="2" t="s">
        <v>56</v>
      </c>
      <c r="K9" s="2" t="s">
        <v>80</v>
      </c>
      <c r="P9" s="6" t="s">
        <v>132</v>
      </c>
      <c r="R9" s="20" t="s">
        <v>201</v>
      </c>
      <c r="S9" s="2" t="s">
        <v>261</v>
      </c>
      <c r="U9" s="15" t="s">
        <v>154</v>
      </c>
      <c r="V9" s="15">
        <v>4</v>
      </c>
      <c r="W9" s="15" t="s">
        <v>26</v>
      </c>
      <c r="X9" s="15" t="s">
        <v>177</v>
      </c>
      <c r="Y9" s="18"/>
      <c r="Z9" s="18"/>
      <c r="AA9" s="18"/>
      <c r="AB9" s="18"/>
    </row>
    <row r="10" spans="1:30" x14ac:dyDescent="0.3">
      <c r="A10" s="7" t="s">
        <v>27</v>
      </c>
      <c r="I10" s="2" t="s">
        <v>59</v>
      </c>
      <c r="K10" s="2" t="s">
        <v>81</v>
      </c>
      <c r="P10" s="6" t="s">
        <v>126</v>
      </c>
      <c r="R10" s="2" t="s">
        <v>198</v>
      </c>
      <c r="S10" s="20" t="s">
        <v>195</v>
      </c>
      <c r="U10" s="15" t="s">
        <v>155</v>
      </c>
      <c r="V10" s="15">
        <v>3</v>
      </c>
      <c r="W10" s="15" t="s">
        <v>22</v>
      </c>
      <c r="X10" s="15" t="s">
        <v>38</v>
      </c>
      <c r="Y10" s="18"/>
      <c r="Z10" s="18"/>
      <c r="AA10" s="18"/>
      <c r="AB10" s="18"/>
    </row>
    <row r="11" spans="1:30" x14ac:dyDescent="0.3">
      <c r="A11" s="7" t="s">
        <v>163</v>
      </c>
      <c r="I11" s="2" t="s">
        <v>52</v>
      </c>
      <c r="K11" s="2" t="s">
        <v>82</v>
      </c>
      <c r="P11" s="6" t="s">
        <v>127</v>
      </c>
      <c r="R11" s="24"/>
      <c r="S11" s="28"/>
      <c r="U11" s="15" t="s">
        <v>156</v>
      </c>
      <c r="V11" s="15">
        <v>2</v>
      </c>
      <c r="W11" s="15" t="s">
        <v>48</v>
      </c>
      <c r="X11" s="11"/>
      <c r="Y11" s="18"/>
      <c r="Z11" s="18"/>
      <c r="AA11" s="18"/>
      <c r="AB11" s="18"/>
    </row>
    <row r="12" spans="1:30" x14ac:dyDescent="0.3">
      <c r="A12" s="26" t="s">
        <v>200</v>
      </c>
      <c r="I12" s="2" t="s">
        <v>64</v>
      </c>
      <c r="K12" s="2" t="s">
        <v>83</v>
      </c>
      <c r="R12" s="23"/>
      <c r="S12" s="24"/>
      <c r="U12" s="15" t="s">
        <v>157</v>
      </c>
      <c r="V12" s="15">
        <v>1</v>
      </c>
      <c r="W12" s="11"/>
      <c r="X12" s="11"/>
      <c r="Y12" s="18"/>
      <c r="Z12" s="18"/>
      <c r="AA12" s="18"/>
      <c r="AB12" s="18"/>
    </row>
    <row r="13" spans="1:30" x14ac:dyDescent="0.3">
      <c r="A13" s="7" t="s">
        <v>164</v>
      </c>
      <c r="I13" s="2" t="s">
        <v>61</v>
      </c>
      <c r="K13" s="2" t="s">
        <v>84</v>
      </c>
      <c r="R13" s="24"/>
      <c r="S13" s="24"/>
    </row>
    <row r="14" spans="1:30" x14ac:dyDescent="0.3">
      <c r="A14" s="7" t="s">
        <v>165</v>
      </c>
      <c r="I14" s="2" t="s">
        <v>62</v>
      </c>
      <c r="K14" s="2" t="s">
        <v>85</v>
      </c>
      <c r="R14" s="24"/>
      <c r="S14" s="24"/>
    </row>
    <row r="15" spans="1:30" x14ac:dyDescent="0.3">
      <c r="A15" s="7" t="s">
        <v>166</v>
      </c>
      <c r="I15" s="2" t="s">
        <v>60</v>
      </c>
      <c r="K15" s="2" t="s">
        <v>86</v>
      </c>
      <c r="R15" s="24"/>
      <c r="S15" s="24"/>
    </row>
    <row r="16" spans="1:30" x14ac:dyDescent="0.3">
      <c r="A16" s="7" t="s">
        <v>167</v>
      </c>
      <c r="K16" s="2" t="s">
        <v>87</v>
      </c>
      <c r="R16" s="24"/>
      <c r="S16" s="24"/>
      <c r="U16" s="32"/>
      <c r="V16" s="32"/>
      <c r="W16" s="32"/>
    </row>
    <row r="17" spans="1:23" x14ac:dyDescent="0.3">
      <c r="A17" s="7" t="s">
        <v>168</v>
      </c>
      <c r="K17" s="2" t="s">
        <v>88</v>
      </c>
      <c r="R17" s="24"/>
      <c r="S17" s="24"/>
      <c r="U17" s="33"/>
      <c r="V17" s="33"/>
      <c r="W17" s="33"/>
    </row>
    <row r="18" spans="1:23" x14ac:dyDescent="0.3">
      <c r="A18" s="7" t="s">
        <v>25</v>
      </c>
      <c r="K18" s="2" t="s">
        <v>89</v>
      </c>
      <c r="U18" s="33"/>
      <c r="V18" s="33"/>
      <c r="W18" s="33"/>
    </row>
    <row r="19" spans="1:23" x14ac:dyDescent="0.3">
      <c r="A19" s="7" t="s">
        <v>169</v>
      </c>
      <c r="K19" s="2" t="s">
        <v>90</v>
      </c>
      <c r="U19" s="33"/>
      <c r="V19" s="33"/>
      <c r="W19" s="33"/>
    </row>
    <row r="20" spans="1:23" x14ac:dyDescent="0.3">
      <c r="A20" s="7" t="s">
        <v>170</v>
      </c>
      <c r="K20" s="2" t="s">
        <v>91</v>
      </c>
      <c r="U20" s="33"/>
      <c r="V20" s="33"/>
      <c r="W20" s="33"/>
    </row>
    <row r="21" spans="1:23" x14ac:dyDescent="0.3">
      <c r="A21" s="7" t="s">
        <v>171</v>
      </c>
      <c r="K21" s="2" t="s">
        <v>92</v>
      </c>
      <c r="U21" s="33"/>
      <c r="V21" s="33"/>
      <c r="W21" s="33"/>
    </row>
    <row r="22" spans="1:23" x14ac:dyDescent="0.3">
      <c r="A22" s="7" t="s">
        <v>172</v>
      </c>
      <c r="K22" s="2" t="s">
        <v>93</v>
      </c>
      <c r="U22" s="33"/>
      <c r="V22" s="33"/>
      <c r="W22" s="33"/>
    </row>
    <row r="23" spans="1:23" x14ac:dyDescent="0.3">
      <c r="A23" s="7" t="s">
        <v>173</v>
      </c>
      <c r="K23" s="2" t="s">
        <v>94</v>
      </c>
      <c r="U23" s="33"/>
      <c r="V23" s="33"/>
      <c r="W23" s="33"/>
    </row>
    <row r="24" spans="1:23" x14ac:dyDescent="0.3">
      <c r="A24" s="7" t="s">
        <v>174</v>
      </c>
      <c r="K24" s="2" t="s">
        <v>95</v>
      </c>
      <c r="U24" s="33"/>
      <c r="V24" s="33"/>
      <c r="W24" s="33"/>
    </row>
    <row r="25" spans="1:23" x14ac:dyDescent="0.3">
      <c r="A25" s="8" t="s">
        <v>176</v>
      </c>
      <c r="K25" s="2" t="s">
        <v>96</v>
      </c>
    </row>
    <row r="26" spans="1:23" x14ac:dyDescent="0.3">
      <c r="A26" s="8" t="s">
        <v>176</v>
      </c>
      <c r="K26" s="2" t="s">
        <v>97</v>
      </c>
    </row>
    <row r="27" spans="1:23" x14ac:dyDescent="0.3">
      <c r="A27" s="8" t="s">
        <v>176</v>
      </c>
      <c r="K27" s="2" t="s">
        <v>98</v>
      </c>
    </row>
    <row r="28" spans="1:23" x14ac:dyDescent="0.3">
      <c r="A28" s="8" t="s">
        <v>176</v>
      </c>
      <c r="K28" s="2" t="s">
        <v>99</v>
      </c>
    </row>
    <row r="29" spans="1:23" x14ac:dyDescent="0.3">
      <c r="K29" s="2" t="s">
        <v>100</v>
      </c>
    </row>
    <row r="30" spans="1:23" x14ac:dyDescent="0.3">
      <c r="K30" s="2" t="s">
        <v>101</v>
      </c>
    </row>
    <row r="31" spans="1:23" x14ac:dyDescent="0.3">
      <c r="K31" s="2" t="s">
        <v>102</v>
      </c>
    </row>
    <row r="32" spans="1:23" x14ac:dyDescent="0.3">
      <c r="K32" s="2" t="s">
        <v>103</v>
      </c>
    </row>
    <row r="33" spans="11:11" x14ac:dyDescent="0.3">
      <c r="K33" s="2" t="s">
        <v>104</v>
      </c>
    </row>
    <row r="34" spans="11:11" x14ac:dyDescent="0.3">
      <c r="K34" s="2" t="s">
        <v>105</v>
      </c>
    </row>
    <row r="35" spans="11:11" x14ac:dyDescent="0.3">
      <c r="K35" s="2" t="s">
        <v>106</v>
      </c>
    </row>
    <row r="36" spans="11:11" x14ac:dyDescent="0.3">
      <c r="K36" s="2" t="s">
        <v>107</v>
      </c>
    </row>
    <row r="37" spans="11:11" x14ac:dyDescent="0.3">
      <c r="K37" s="2" t="s">
        <v>108</v>
      </c>
    </row>
    <row r="38" spans="11:11" x14ac:dyDescent="0.3">
      <c r="K38" s="2" t="s">
        <v>109</v>
      </c>
    </row>
    <row r="39" spans="11:11" x14ac:dyDescent="0.3">
      <c r="K39" s="2" t="s">
        <v>110</v>
      </c>
    </row>
    <row r="40" spans="11:11" x14ac:dyDescent="0.3">
      <c r="K40" s="2" t="s">
        <v>111</v>
      </c>
    </row>
    <row r="41" spans="11:11" x14ac:dyDescent="0.3">
      <c r="K41" s="2" t="s">
        <v>112</v>
      </c>
    </row>
    <row r="42" spans="11:11" x14ac:dyDescent="0.3">
      <c r="K42" s="2" t="s">
        <v>113</v>
      </c>
    </row>
    <row r="43" spans="11:11" x14ac:dyDescent="0.3">
      <c r="K43" s="2" t="s">
        <v>114</v>
      </c>
    </row>
    <row r="44" spans="11:11" x14ac:dyDescent="0.3">
      <c r="K44" s="2" t="s">
        <v>115</v>
      </c>
    </row>
  </sheetData>
  <sortState ref="A3:A24">
    <sortCondition ref="A2"/>
  </sortState>
  <mergeCells count="1">
    <mergeCell ref="U1:AB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19</vt:i4>
      </vt:variant>
    </vt:vector>
  </HeadingPairs>
  <TitlesOfParts>
    <vt:vector size="23" baseType="lpstr">
      <vt:lpstr>Project Details</vt:lpstr>
      <vt:lpstr>Surveyor</vt:lpstr>
      <vt:lpstr>Template</vt:lpstr>
      <vt:lpstr>choices</vt:lpstr>
      <vt:lpstr>capi_software</vt:lpstr>
      <vt:lpstr>categories</vt:lpstr>
      <vt:lpstr>descriptions</vt:lpstr>
      <vt:lpstr>education</vt:lpstr>
      <vt:lpstr>education_val</vt:lpstr>
      <vt:lpstr>gender</vt:lpstr>
      <vt:lpstr>interview_mode</vt:lpstr>
      <vt:lpstr>interview_mode_full</vt:lpstr>
      <vt:lpstr>metrics</vt:lpstr>
      <vt:lpstr>paper_or_capi</vt:lpstr>
      <vt:lpstr>paper_or_capi_full</vt:lpstr>
      <vt:lpstr>preferred_criteria</vt:lpstr>
      <vt:lpstr>project</vt:lpstr>
      <vt:lpstr>project_details</vt:lpstr>
      <vt:lpstr>project_phase</vt:lpstr>
      <vt:lpstr>projects</vt:lpstr>
      <vt:lpstr>quantitative_or_qualitative</vt:lpstr>
      <vt:lpstr>quantitative_or_qualitative_full</vt:lpstr>
      <vt:lpstr>researcharea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Ishamial Boako</dc:creator>
  <cp:lastModifiedBy>Ishamial Boako</cp:lastModifiedBy>
  <dcterms:created xsi:type="dcterms:W3CDTF">2018-11-21T12:07:13Z</dcterms:created>
  <dcterms:modified xsi:type="dcterms:W3CDTF">2019-01-10T10:15:28Z</dcterms:modified>
</cp:coreProperties>
</file>