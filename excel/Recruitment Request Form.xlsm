
<file path=[Content_Types].xml><?xml version="1.0" encoding="utf-8"?>
<Types xmlns="http://schemas.openxmlformats.org/package/2006/content-types">
  <Default Extension="bin" ContentType="application/vnd.openxmlformats-officedocument.spreadsheetml.printerSettings"/>
  <Default Extension="jpeg" ContentType="image/jpe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19126" codeName="{526614CA-9299-8FEA-EDB2-C8A7E91AD4E6}"/>
  <workbookPr codeName="ThisWorkbook" defaultThemeVersion="166925"/>
  <mc:AlternateContent xmlns:mc="http://schemas.openxmlformats.org/markup-compatibility/2006">
    <mc:Choice Requires="x15">
      <x15ac:absPath xmlns:x15ac="http://schemas.microsoft.com/office/spreadsheetml/2010/11/ac" url="X:\Box\IPA_GHA_SCs-DMs private folder\Surveyor Database New\05_request\181214_farmeline_pilot\"/>
    </mc:Choice>
  </mc:AlternateContent>
  <xr:revisionPtr revIDLastSave="0" documentId="10_ncr:100000_{1EBDB5B5-23B9-42D7-A536-D2D3B96F76C9}" xr6:coauthVersionLast="31" xr6:coauthVersionMax="38" xr10:uidLastSave="{00000000-0000-0000-0000-000000000000}"/>
  <bookViews>
    <workbookView xWindow="0" yWindow="0" windowWidth="23040" windowHeight="9144" activeTab="1" xr2:uid="{A2D185DA-C0DB-42B3-B822-8F0D46832F4B}"/>
  </bookViews>
  <sheets>
    <sheet name="Project Details" sheetId="1" r:id="rId1"/>
    <sheet name="Surveyor" sheetId="8" r:id="rId2"/>
    <sheet name="Template" sheetId="3" state="hidden" r:id="rId3"/>
    <sheet name="choices" sheetId="2" state="hidden" r:id="rId4"/>
  </sheets>
  <definedNames>
    <definedName name="capi_software">choices!$Y$5:$Y$8</definedName>
    <definedName name="categories">choices!$S$2:$S$8</definedName>
    <definedName name="descriptions">choices!$R$2:$R$9</definedName>
    <definedName name="education">choices!$U$5:$U$12</definedName>
    <definedName name="gender">choices!$AB$5:$AB$6</definedName>
    <definedName name="interview_mode">choices!$Z$5:$Z$7</definedName>
    <definedName name="metrics">choices!$R$2:$S$9</definedName>
    <definedName name="paper_or_capi">choices!$X$5:$X$7</definedName>
    <definedName name="preferred_criteria">choices!$R$2:$R$8</definedName>
    <definedName name="project">choices!$A$2:$A$23</definedName>
    <definedName name="project_details">choices!$A$2:$A$23</definedName>
    <definedName name="projects">choices!$A$2:$A$28</definedName>
    <definedName name="quantitative_or_qualitative">choices!$AA$5:$AA$7</definedName>
    <definedName name="researcharea">choices!$W$5:$W$10</definedName>
  </definedNames>
  <calcPr calcId="179017"/>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I26" i="8" l="1"/>
  <c r="F26" i="8"/>
  <c r="C26" i="8"/>
  <c r="I22" i="8"/>
  <c r="F22" i="8"/>
  <c r="C22" i="8"/>
  <c r="I18" i="8"/>
  <c r="F18" i="8"/>
  <c r="C18" i="8"/>
  <c r="I14" i="8"/>
  <c r="F14" i="8"/>
  <c r="C14" i="8"/>
  <c r="I10" i="8"/>
  <c r="F10" i="8"/>
  <c r="C10" i="8"/>
  <c r="G90" i="8" l="1"/>
  <c r="G88" i="8"/>
  <c r="G86" i="8"/>
  <c r="G84" i="8"/>
  <c r="G82" i="8"/>
  <c r="G80" i="8"/>
  <c r="G74" i="8"/>
  <c r="G72" i="8"/>
  <c r="G70" i="8"/>
  <c r="G68" i="8"/>
  <c r="G66" i="8"/>
  <c r="G90" i="3" l="1"/>
  <c r="G88" i="3"/>
  <c r="G86" i="3"/>
  <c r="G84" i="3"/>
  <c r="G82" i="3"/>
  <c r="G80" i="3"/>
  <c r="G74" i="3" l="1"/>
  <c r="G72" i="3"/>
  <c r="G70" i="3"/>
  <c r="G68" i="3"/>
  <c r="G66" i="3"/>
  <c r="G64" i="3"/>
  <c r="E43" i="1" l="1"/>
  <c r="E44" i="1"/>
  <c r="E45" i="1"/>
  <c r="E46" i="1"/>
  <c r="E47" i="1"/>
  <c r="E48" i="1"/>
  <c r="E49" i="1"/>
  <c r="E50" i="1"/>
  <c r="E51" i="1"/>
  <c r="D52" i="1"/>
  <c r="E42" i="1"/>
  <c r="E52" i="1" l="1"/>
</calcChain>
</file>

<file path=xl/sharedStrings.xml><?xml version="1.0" encoding="utf-8"?>
<sst xmlns="http://schemas.openxmlformats.org/spreadsheetml/2006/main" count="347" uniqueCount="231">
  <si>
    <t>Recruitment Request Form</t>
  </si>
  <si>
    <t>Project Head</t>
  </si>
  <si>
    <t>Survey Coordinator</t>
  </si>
  <si>
    <t>Date of submission</t>
  </si>
  <si>
    <t>Date of training</t>
  </si>
  <si>
    <t>Date of field work</t>
  </si>
  <si>
    <t>Project Acronym</t>
  </si>
  <si>
    <t>Project Details</t>
  </si>
  <si>
    <t>Project Staff</t>
  </si>
  <si>
    <t>Field Manager</t>
  </si>
  <si>
    <t>Project Manager</t>
  </si>
  <si>
    <t>Activity Details</t>
  </si>
  <si>
    <t>Project Code</t>
  </si>
  <si>
    <t>Project Grant</t>
  </si>
  <si>
    <t>Project Office</t>
  </si>
  <si>
    <t>Project Phase</t>
  </si>
  <si>
    <t>Estimated Duration of Activity</t>
  </si>
  <si>
    <t>Brief Description of Survey Activities</t>
  </si>
  <si>
    <t xml:space="preserve">Give a brief description of the nature of the study. This should include information on the study location, number of field teams requested. </t>
  </si>
  <si>
    <t>Request Sheet Name</t>
  </si>
  <si>
    <t>DIRTS</t>
  </si>
  <si>
    <t>Dessermination Innovative Resources and Technologies to Small Holder Farmers</t>
  </si>
  <si>
    <t>The Invisible Fishers</t>
  </si>
  <si>
    <t>CAGE</t>
  </si>
  <si>
    <t>Conservation Agriculture Evaluation</t>
  </si>
  <si>
    <t>LME</t>
  </si>
  <si>
    <t>Lively Minds Evaluation</t>
  </si>
  <si>
    <t>EP</t>
  </si>
  <si>
    <t>Escaping Poverty</t>
  </si>
  <si>
    <t>Cassava Processors in Ghana</t>
  </si>
  <si>
    <t>Research Area</t>
  </si>
  <si>
    <t>Agriculture</t>
  </si>
  <si>
    <t>Education</t>
  </si>
  <si>
    <t>Financial Inclusion</t>
  </si>
  <si>
    <t>Governance</t>
  </si>
  <si>
    <t>Health</t>
  </si>
  <si>
    <t>Peace and Recovery</t>
  </si>
  <si>
    <t>Small and Medium Enterprises</t>
  </si>
  <si>
    <t>Social Protection</t>
  </si>
  <si>
    <r>
      <rPr>
        <b/>
        <u/>
        <sz val="11"/>
        <color theme="1"/>
        <rFont val="Calibri"/>
        <family val="2"/>
        <scheme val="minor"/>
      </rPr>
      <t>Instructions:</t>
    </r>
    <r>
      <rPr>
        <b/>
        <sz val="11"/>
        <color theme="1"/>
        <rFont val="Calibri"/>
        <family val="2"/>
        <scheme val="minor"/>
      </rPr>
      <t xml:space="preserve">
</t>
    </r>
    <r>
      <rPr>
        <sz val="11"/>
        <color theme="1"/>
        <rFont val="Calibri"/>
        <family val="2"/>
        <scheme val="minor"/>
      </rPr>
      <t xml:space="preserve">Indicate in cell </t>
    </r>
    <r>
      <rPr>
        <b/>
        <sz val="11"/>
        <color theme="1"/>
        <rFont val="Calibri"/>
        <family val="2"/>
        <scheme val="minor"/>
      </rPr>
      <t xml:space="preserve">C44 </t>
    </r>
    <r>
      <rPr>
        <sz val="11"/>
        <color theme="1"/>
        <rFont val="Calibri"/>
        <family val="2"/>
        <scheme val="minor"/>
      </rPr>
      <t>the name of the new sheet to create. This sheet should be a short name indicating the description of field staff to be selected from this sheet. eg. FS, TL_Ewe, Auditor_Central</t>
    </r>
  </si>
  <si>
    <t>Tamale</t>
  </si>
  <si>
    <t>Accra</t>
  </si>
  <si>
    <t>Pilot</t>
  </si>
  <si>
    <t>Census</t>
  </si>
  <si>
    <t>Baseline</t>
  </si>
  <si>
    <t>Midline</t>
  </si>
  <si>
    <t>Endline</t>
  </si>
  <si>
    <t>Follow up</t>
  </si>
  <si>
    <t>Intervention Activities</t>
  </si>
  <si>
    <t>Ishmail Azindoo Baako</t>
  </si>
  <si>
    <t>SME &amp; Gender</t>
  </si>
  <si>
    <t>Edward Tsinigo</t>
  </si>
  <si>
    <t>Request Details</t>
  </si>
  <si>
    <t>Field Staff Position</t>
  </si>
  <si>
    <t># of field staff required for field work</t>
  </si>
  <si>
    <t>Protocol Minimum Number of field staff required for training</t>
  </si>
  <si>
    <t>Surveyor</t>
  </si>
  <si>
    <t>Auditor (Field/Phone)</t>
  </si>
  <si>
    <t>Auditor (Audio)</t>
  </si>
  <si>
    <t>Editor</t>
  </si>
  <si>
    <t>Note Taker</t>
  </si>
  <si>
    <t>Facilitator</t>
  </si>
  <si>
    <t>Indepth Interviewer</t>
  </si>
  <si>
    <t>Observer</t>
  </si>
  <si>
    <t>Video Coder</t>
  </si>
  <si>
    <t>Transcriptionist</t>
  </si>
  <si>
    <t>Translator</t>
  </si>
  <si>
    <t>Data Entry Officer</t>
  </si>
  <si>
    <t>Team Leader</t>
  </si>
  <si>
    <t>Field Supervisor</t>
  </si>
  <si>
    <t>Field Staff Evaluations</t>
  </si>
  <si>
    <t>Total</t>
  </si>
  <si>
    <t>Required Criteria</t>
  </si>
  <si>
    <t>Local Language Requirement</t>
  </si>
  <si>
    <t>Location Requirements</t>
  </si>
  <si>
    <t>Language</t>
  </si>
  <si>
    <t>Minimum Profieciency</t>
  </si>
  <si>
    <t>OR</t>
  </si>
  <si>
    <t>AND</t>
  </si>
  <si>
    <t>languages</t>
  </si>
  <si>
    <t>Ahanta</t>
  </si>
  <si>
    <t>Akuapem Twi</t>
  </si>
  <si>
    <t>Asanti Twi</t>
  </si>
  <si>
    <t>Asen</t>
  </si>
  <si>
    <t>Banda</t>
  </si>
  <si>
    <t>Bassari</t>
  </si>
  <si>
    <t>Birifor</t>
  </si>
  <si>
    <t>Buli</t>
  </si>
  <si>
    <t>Chamba</t>
  </si>
  <si>
    <t>Chokosi</t>
  </si>
  <si>
    <t>Chumburung</t>
  </si>
  <si>
    <t>Dagaare</t>
  </si>
  <si>
    <t>Dagbani</t>
  </si>
  <si>
    <t>Dangme</t>
  </si>
  <si>
    <t>Efutu</t>
  </si>
  <si>
    <t>Ewe</t>
  </si>
  <si>
    <t>Fante</t>
  </si>
  <si>
    <t>Fulfulde</t>
  </si>
  <si>
    <t>Ga</t>
  </si>
  <si>
    <t>Gonja</t>
  </si>
  <si>
    <t>Gruni</t>
  </si>
  <si>
    <t>Guan</t>
  </si>
  <si>
    <t>Kamara</t>
  </si>
  <si>
    <t>Kassem</t>
  </si>
  <si>
    <t>Koma</t>
  </si>
  <si>
    <t>Likpakpan</t>
  </si>
  <si>
    <t>Mampruli</t>
  </si>
  <si>
    <t>Mo/Deg</t>
  </si>
  <si>
    <t>Moar</t>
  </si>
  <si>
    <t>Moshie</t>
  </si>
  <si>
    <t>Nabt</t>
  </si>
  <si>
    <t>Nafaanra</t>
  </si>
  <si>
    <t>Nankam</t>
  </si>
  <si>
    <t>Nawuri</t>
  </si>
  <si>
    <t>Ntrubo</t>
  </si>
  <si>
    <t>Nzema</t>
  </si>
  <si>
    <t>Sefwi</t>
  </si>
  <si>
    <t>Sissali</t>
  </si>
  <si>
    <t>Talen</t>
  </si>
  <si>
    <t>Tampulma</t>
  </si>
  <si>
    <t>Vagla</t>
  </si>
  <si>
    <t>Wali</t>
  </si>
  <si>
    <t>Wassa</t>
  </si>
  <si>
    <t>language proficiency</t>
  </si>
  <si>
    <t>Native</t>
  </si>
  <si>
    <t>Full Professional</t>
  </si>
  <si>
    <t>Minimum Professional</t>
  </si>
  <si>
    <t>Limited Working</t>
  </si>
  <si>
    <t>Elementary</t>
  </si>
  <si>
    <r>
      <t xml:space="preserve">Instructions:
</t>
    </r>
    <r>
      <rPr>
        <i/>
        <sz val="12"/>
        <rFont val="Calibri"/>
        <family val="2"/>
        <scheme val="minor"/>
      </rPr>
      <t xml:space="preserve">In the table below, select the language requirements for this position. Please note that this can be used for the different combinations of languages. All languages are pre-populated and should be selected from the dropdown list. If the language you require is not in the list, kindly inform a member of the RQ team immediately. If this survey does not require fluency in local languages, kindly leave this section blank. </t>
    </r>
  </si>
  <si>
    <r>
      <t xml:space="preserve">Instructions:
</t>
    </r>
    <r>
      <rPr>
        <i/>
        <sz val="12"/>
        <rFont val="Calibri"/>
        <family val="2"/>
        <scheme val="minor"/>
      </rPr>
      <t>In the table below, select the residential preferences for this field activities. For instance, if you only want to work with field staff with residency in Greater Accra, Kindly Select Greater Accra. This select allows for the selection of multiple regions as well. Kindly leave the section blank if the current location of the field staff is not relevant for this field activity</t>
    </r>
  </si>
  <si>
    <t>Region 1</t>
  </si>
  <si>
    <t>Region 2</t>
  </si>
  <si>
    <t>Region 3</t>
  </si>
  <si>
    <t>Region 4</t>
  </si>
  <si>
    <t>Region 5</t>
  </si>
  <si>
    <t>Region 6</t>
  </si>
  <si>
    <t>Region 7</t>
  </si>
  <si>
    <t>Region 8</t>
  </si>
  <si>
    <t>Region 9</t>
  </si>
  <si>
    <t>Ashanti</t>
  </si>
  <si>
    <t>Central</t>
  </si>
  <si>
    <t>Eastern</t>
  </si>
  <si>
    <t>Northern</t>
  </si>
  <si>
    <t>Volta</t>
  </si>
  <si>
    <t>Western</t>
  </si>
  <si>
    <t>regions</t>
  </si>
  <si>
    <t>Brong Ahafo</t>
  </si>
  <si>
    <t>Greater Accra</t>
  </si>
  <si>
    <t>Upper East</t>
  </si>
  <si>
    <t>Upper West</t>
  </si>
  <si>
    <r>
      <t xml:space="preserve">Instructions:
</t>
    </r>
    <r>
      <rPr>
        <i/>
        <sz val="12"/>
        <rFont val="Calibri"/>
        <family val="2"/>
        <scheme val="minor"/>
      </rPr>
      <t xml:space="preserve">In the table below, please indicate the required criteria for this recruitment. Note that field staff who do not meet this criteria will be eliminated. </t>
    </r>
  </si>
  <si>
    <t>Criteria</t>
  </si>
  <si>
    <t>Minimum Requirement</t>
  </si>
  <si>
    <t>Prefered Criteria</t>
  </si>
  <si>
    <r>
      <t xml:space="preserve">Instructions:
</t>
    </r>
    <r>
      <rPr>
        <i/>
        <sz val="12"/>
        <rFont val="Calibri"/>
        <family val="2"/>
        <scheme val="minor"/>
      </rPr>
      <t>In the table below, please indicate the prefered criteria for this recruitment. Note that this will be used to rank field staff in the specified order</t>
    </r>
  </si>
  <si>
    <t>Required and Preferred Criteria</t>
  </si>
  <si>
    <t>education</t>
  </si>
  <si>
    <t>Highest Level of Education Completed</t>
  </si>
  <si>
    <t>project</t>
  </si>
  <si>
    <t>researcharea</t>
  </si>
  <si>
    <t>Experience on a Previous IPA Project</t>
  </si>
  <si>
    <t>Experience on a Previous IPA Project in a specific Research Area</t>
  </si>
  <si>
    <t>paper_or_capi</t>
  </si>
  <si>
    <t>Experience Using Paper or CAPI Survey</t>
  </si>
  <si>
    <t>capi_software</t>
  </si>
  <si>
    <t>Experience in Paper of CAPI</t>
  </si>
  <si>
    <t>interview_mode</t>
  </si>
  <si>
    <t>Experience doing personal or phone interviews</t>
  </si>
  <si>
    <t>quantitative_or_qualitative</t>
  </si>
  <si>
    <t>Experience doing quantitative or qualitative field activities</t>
  </si>
  <si>
    <t>Doctorate</t>
  </si>
  <si>
    <t>Masters</t>
  </si>
  <si>
    <t>Bachelors</t>
  </si>
  <si>
    <t>HND</t>
  </si>
  <si>
    <t>Diploma</t>
  </si>
  <si>
    <t>Certificate</t>
  </si>
  <si>
    <t>SSCE</t>
  </si>
  <si>
    <t>BECE</t>
  </si>
  <si>
    <t>Ariku</t>
  </si>
  <si>
    <t>C4D</t>
  </si>
  <si>
    <t>CHPS</t>
  </si>
  <si>
    <t>CREDI</t>
  </si>
  <si>
    <t>Dupas Trip</t>
  </si>
  <si>
    <t>EPAME</t>
  </si>
  <si>
    <t>FTTT</t>
  </si>
  <si>
    <t>GCCPS</t>
  </si>
  <si>
    <t>Gender Grants</t>
  </si>
  <si>
    <t>GUIIDE</t>
  </si>
  <si>
    <t>GYS</t>
  </si>
  <si>
    <t>MGCubed</t>
  </si>
  <si>
    <t>NAP</t>
  </si>
  <si>
    <t>NAP networks</t>
  </si>
  <si>
    <t>QP4G</t>
  </si>
  <si>
    <t>Sanitation</t>
  </si>
  <si>
    <t>TAT</t>
  </si>
  <si>
    <t>AHME</t>
  </si>
  <si>
    <t>add project</t>
  </si>
  <si>
    <t>Microfinance</t>
  </si>
  <si>
    <t>Labour</t>
  </si>
  <si>
    <t>Paper</t>
  </si>
  <si>
    <t>CAPI</t>
  </si>
  <si>
    <t>Paper/CAPI</t>
  </si>
  <si>
    <t>SurveyCTO</t>
  </si>
  <si>
    <t>Tangerine</t>
  </si>
  <si>
    <t>ODK</t>
  </si>
  <si>
    <t>Blaise</t>
  </si>
  <si>
    <t>Phone</t>
  </si>
  <si>
    <t>Field</t>
  </si>
  <si>
    <t>Phone/Field</t>
  </si>
  <si>
    <t>Quantitative</t>
  </si>
  <si>
    <t>Qualitative</t>
  </si>
  <si>
    <t>Quantitative/Qualitative</t>
  </si>
  <si>
    <t>metric</t>
  </si>
  <si>
    <t>description</t>
  </si>
  <si>
    <t>Experience in CAPI Software</t>
  </si>
  <si>
    <t>Minimum Database Weighted Average Score.</t>
  </si>
  <si>
    <t>gender</t>
  </si>
  <si>
    <t>Male</t>
  </si>
  <si>
    <t>Female</t>
  </si>
  <si>
    <t>Gender of Field Staff</t>
  </si>
  <si>
    <t>Sub Phase (opt)</t>
  </si>
  <si>
    <t>Position (if not in list select closeset postion)</t>
  </si>
  <si>
    <r>
      <t>Previous Experience in at least one of the following positions
(</t>
    </r>
    <r>
      <rPr>
        <sz val="11"/>
        <color rgb="FFFF0000"/>
        <rFont val="Calibri"/>
        <family val="2"/>
        <scheme val="minor"/>
      </rPr>
      <t>multiple selection allowed</t>
    </r>
    <r>
      <rPr>
        <sz val="11"/>
        <rFont val="Calibri"/>
        <family val="2"/>
        <scheme val="minor"/>
      </rPr>
      <t>)</t>
    </r>
  </si>
  <si>
    <t>Specific Date of Training for position (MM/DD/YY)
[Leave blank if it’s the same as general date of training]</t>
  </si>
  <si>
    <t>Farmerline</t>
  </si>
  <si>
    <t>Eric Tawiah</t>
  </si>
  <si>
    <t>3 Days</t>
  </si>
  <si>
    <t>The survey will interview about 25 farmers in the cocoa, soyabean, rice and vegetable value chain. This will be a phone survey and will be done in the office.</t>
  </si>
  <si>
    <t>19257AA</t>
  </si>
  <si>
    <t>UCB9564</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</si>
</sst>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409]dd\-mmm\-yy;@"/>
  </numFmts>
  <fonts count="20" x14ac:knownFonts="1">
    <font>
      <sz val="11"/>
      <color theme="1"/>
      <name val="Calibri"/>
      <family val="2"/>
      <scheme val="minor"/>
    </font>
    <font>
      <b/>
      <sz val="11"/>
      <color theme="1"/>
      <name val="Calibri"/>
      <family val="2"/>
      <scheme val="minor"/>
    </font>
    <font>
      <b/>
      <sz val="14"/>
      <color theme="1"/>
      <name val="Calibri"/>
      <family val="2"/>
      <scheme val="minor"/>
    </font>
    <font>
      <i/>
      <sz val="11"/>
      <color theme="1"/>
      <name val="Calibri"/>
      <family val="2"/>
      <scheme val="minor"/>
    </font>
    <font>
      <b/>
      <i/>
      <sz val="11"/>
      <color theme="1"/>
      <name val="Calibri"/>
      <family val="2"/>
      <scheme val="minor"/>
    </font>
    <font>
      <sz val="11"/>
      <name val="Calibri"/>
      <family val="2"/>
    </font>
    <font>
      <i/>
      <sz val="10"/>
      <name val="Calibri"/>
      <family val="2"/>
    </font>
    <font>
      <b/>
      <sz val="12"/>
      <name val="Calibri"/>
      <family val="2"/>
    </font>
    <font>
      <b/>
      <u/>
      <sz val="11"/>
      <color theme="1"/>
      <name val="Calibri"/>
      <family val="2"/>
      <scheme val="minor"/>
    </font>
    <font>
      <sz val="11"/>
      <color rgb="FF000000"/>
      <name val="Calibri"/>
      <family val="2"/>
    </font>
    <font>
      <sz val="11"/>
      <color rgb="FFFF0000"/>
      <name val="Calibri"/>
      <family val="2"/>
      <scheme val="minor"/>
    </font>
    <font>
      <sz val="11"/>
      <name val="Calibri"/>
      <family val="2"/>
      <scheme val="minor"/>
    </font>
    <font>
      <b/>
      <sz val="16"/>
      <name val="Calibri"/>
      <family val="2"/>
      <scheme val="minor"/>
    </font>
    <font>
      <b/>
      <sz val="11"/>
      <name val="Calibri"/>
      <family val="2"/>
      <scheme val="minor"/>
    </font>
    <font>
      <b/>
      <sz val="12"/>
      <name val="Calibri"/>
      <family val="2"/>
      <scheme val="minor"/>
    </font>
    <font>
      <b/>
      <u/>
      <sz val="12"/>
      <name val="Calibri"/>
      <family val="2"/>
      <scheme val="minor"/>
    </font>
    <font>
      <i/>
      <sz val="12"/>
      <name val="Calibri"/>
      <family val="2"/>
      <scheme val="minor"/>
    </font>
    <font>
      <sz val="11"/>
      <color theme="3" tint="0.79998168889431442"/>
      <name val="Calibri"/>
      <family val="2"/>
      <scheme val="minor"/>
    </font>
    <font>
      <b/>
      <sz val="26"/>
      <color theme="1"/>
      <name val="Calibri"/>
      <family val="2"/>
      <scheme val="minor"/>
    </font>
    <font>
      <sz val="11"/>
      <color rgb="FFD6DCDA"/>
      <name val="Calibri"/>
      <family val="2"/>
      <scheme val="minor"/>
    </font>
  </fonts>
  <fills count="7">
    <fill>
      <patternFill patternType="none"/>
    </fill>
    <fill>
      <patternFill patternType="gray125"/>
    </fill>
    <fill>
      <patternFill patternType="solid">
        <fgColor theme="2"/>
        <bgColor indexed="64"/>
      </patternFill>
    </fill>
    <fill>
      <patternFill patternType="solid">
        <fgColor theme="3" tint="0.79998168889431442"/>
        <bgColor indexed="64"/>
      </patternFill>
    </fill>
    <fill>
      <patternFill patternType="solid">
        <fgColor theme="0"/>
        <bgColor indexed="64"/>
      </patternFill>
    </fill>
    <fill>
      <patternFill patternType="solid">
        <fgColor rgb="FFD6DCDA"/>
        <bgColor indexed="64"/>
      </patternFill>
    </fill>
    <fill>
      <patternFill patternType="solid">
        <fgColor theme="5" tint="0.59999389629810485"/>
        <bgColor indexed="64"/>
      </patternFill>
    </fill>
  </fills>
  <borders count="15">
    <border>
      <left/>
      <right/>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bottom/>
      <diagonal/>
    </border>
    <border>
      <left/>
      <right/>
      <top style="thin">
        <color indexed="64"/>
      </top>
      <bottom style="thin">
        <color indexed="64"/>
      </bottom>
      <diagonal/>
    </border>
    <border>
      <left style="thin">
        <color indexed="64"/>
      </left>
      <right style="thin">
        <color indexed="64"/>
      </right>
      <top/>
      <bottom style="thin">
        <color indexed="64"/>
      </bottom>
      <diagonal/>
    </border>
  </borders>
  <cellStyleXfs count="4">
    <xf numFmtId="0" fontId="0" fillId="0" borderId="0"/>
    <xf numFmtId="0" fontId="5" fillId="0" borderId="0"/>
    <xf numFmtId="0" fontId="5" fillId="0" borderId="0"/>
    <xf numFmtId="0" fontId="5" fillId="0" borderId="0"/>
  </cellStyleXfs>
  <cellXfs count="129">
    <xf numFmtId="0" fontId="0" fillId="0" borderId="0" xfId="0"/>
    <xf numFmtId="0" fontId="0" fillId="0" borderId="0" xfId="0" applyAlignment="1">
      <alignment wrapText="1"/>
    </xf>
    <xf numFmtId="0" fontId="0" fillId="0" borderId="1" xfId="0" applyBorder="1"/>
    <xf numFmtId="0" fontId="4" fillId="0" borderId="1" xfId="0" applyFont="1" applyBorder="1"/>
    <xf numFmtId="0" fontId="0" fillId="0" borderId="1" xfId="0" applyFill="1" applyBorder="1" applyAlignment="1">
      <alignment wrapText="1"/>
    </xf>
    <xf numFmtId="0" fontId="0" fillId="0" borderId="0" xfId="0"/>
    <xf numFmtId="0" fontId="0" fillId="4" borderId="1" xfId="0" applyFont="1" applyFill="1" applyBorder="1"/>
    <xf numFmtId="0" fontId="0" fillId="0" borderId="1" xfId="0" applyFont="1" applyBorder="1"/>
    <xf numFmtId="0" fontId="3" fillId="0" borderId="1" xfId="0" applyFont="1" applyFill="1" applyBorder="1"/>
    <xf numFmtId="0" fontId="4" fillId="4" borderId="1" xfId="0" applyFont="1" applyFill="1" applyBorder="1"/>
    <xf numFmtId="0" fontId="0" fillId="4" borderId="14" xfId="0" applyFont="1" applyFill="1" applyBorder="1"/>
    <xf numFmtId="0" fontId="3" fillId="0" borderId="0" xfId="0" applyFont="1" applyAlignment="1">
      <alignment wrapText="1"/>
    </xf>
    <xf numFmtId="0" fontId="1" fillId="0" borderId="1" xfId="0" applyFont="1" applyBorder="1" applyAlignment="1">
      <alignment wrapText="1"/>
    </xf>
    <xf numFmtId="0" fontId="1" fillId="0" borderId="1" xfId="0" applyFont="1" applyFill="1" applyBorder="1" applyAlignment="1">
      <alignment wrapText="1"/>
    </xf>
    <xf numFmtId="0" fontId="0" fillId="0" borderId="1" xfId="0" applyBorder="1" applyAlignment="1">
      <alignment wrapText="1"/>
    </xf>
    <xf numFmtId="0" fontId="3" fillId="0" borderId="1" xfId="0" applyFont="1" applyBorder="1" applyAlignment="1">
      <alignment wrapText="1"/>
    </xf>
    <xf numFmtId="0" fontId="0" fillId="0" borderId="1" xfId="0" applyFont="1" applyBorder="1" applyAlignment="1">
      <alignment wrapText="1"/>
    </xf>
    <xf numFmtId="0" fontId="3" fillId="0" borderId="1" xfId="0" applyFont="1" applyBorder="1"/>
    <xf numFmtId="0" fontId="3" fillId="0" borderId="0" xfId="0" applyFont="1"/>
    <xf numFmtId="0" fontId="3" fillId="0" borderId="10" xfId="0" applyFont="1" applyBorder="1"/>
    <xf numFmtId="0" fontId="0" fillId="0" borderId="1" xfId="0" applyFont="1" applyFill="1" applyBorder="1" applyAlignment="1">
      <alignment wrapText="1"/>
    </xf>
    <xf numFmtId="0" fontId="4" fillId="0" borderId="1" xfId="0" applyFont="1" applyBorder="1" applyAlignment="1">
      <alignment wrapText="1"/>
    </xf>
    <xf numFmtId="0" fontId="0" fillId="0" borderId="0" xfId="0" applyProtection="1">
      <protection locked="0" hidden="1"/>
    </xf>
    <xf numFmtId="1" fontId="1" fillId="2" borderId="1" xfId="0" applyNumberFormat="1" applyFont="1" applyFill="1" applyBorder="1" applyAlignment="1" applyProtection="1">
      <alignment wrapText="1"/>
      <protection hidden="1"/>
    </xf>
    <xf numFmtId="0" fontId="0" fillId="6" borderId="1" xfId="0" applyFill="1" applyBorder="1" applyAlignment="1" applyProtection="1">
      <protection hidden="1"/>
    </xf>
    <xf numFmtId="0" fontId="3" fillId="0" borderId="1" xfId="0" applyFont="1" applyFill="1" applyBorder="1" applyAlignment="1">
      <alignment wrapText="1"/>
    </xf>
    <xf numFmtId="0" fontId="0" fillId="0" borderId="0" xfId="0" applyFill="1" applyBorder="1"/>
    <xf numFmtId="0" fontId="0" fillId="0" borderId="0" xfId="0" applyBorder="1"/>
    <xf numFmtId="0" fontId="0" fillId="3" borderId="0" xfId="0" applyFill="1" applyBorder="1" applyAlignment="1" applyProtection="1">
      <alignment wrapText="1"/>
      <protection locked="0"/>
    </xf>
    <xf numFmtId="0" fontId="0" fillId="0" borderId="0" xfId="0" applyProtection="1">
      <protection locked="0"/>
    </xf>
    <xf numFmtId="0" fontId="0" fillId="0" borderId="0" xfId="0" applyAlignment="1" applyProtection="1">
      <alignment wrapText="1"/>
      <protection locked="0"/>
    </xf>
    <xf numFmtId="0" fontId="0" fillId="3" borderId="0" xfId="0" applyFill="1" applyBorder="1" applyProtection="1">
      <protection locked="0"/>
    </xf>
    <xf numFmtId="0" fontId="0" fillId="3" borderId="0" xfId="0" applyFont="1" applyFill="1" applyBorder="1" applyAlignment="1" applyProtection="1">
      <alignment wrapText="1"/>
      <protection locked="0"/>
    </xf>
    <xf numFmtId="0" fontId="5" fillId="0" borderId="0" xfId="0" applyFont="1" applyFill="1" applyBorder="1" applyAlignment="1" applyProtection="1">
      <alignment wrapText="1"/>
      <protection locked="0"/>
    </xf>
    <xf numFmtId="0" fontId="6" fillId="0" borderId="0" xfId="0" applyFont="1" applyFill="1" applyBorder="1" applyAlignment="1" applyProtection="1">
      <alignment horizontal="center"/>
      <protection locked="0"/>
    </xf>
    <xf numFmtId="0" fontId="0" fillId="3" borderId="0" xfId="0" applyFill="1" applyProtection="1">
      <protection locked="0"/>
    </xf>
    <xf numFmtId="0" fontId="0" fillId="3" borderId="0" xfId="0" applyFill="1" applyAlignment="1" applyProtection="1">
      <alignment wrapText="1"/>
      <protection locked="0"/>
    </xf>
    <xf numFmtId="0" fontId="0" fillId="0" borderId="0" xfId="0" applyFill="1" applyProtection="1">
      <protection locked="0"/>
    </xf>
    <xf numFmtId="0" fontId="0" fillId="0" borderId="0" xfId="0" applyFill="1" applyAlignment="1" applyProtection="1">
      <alignment wrapText="1"/>
      <protection locked="0"/>
    </xf>
    <xf numFmtId="0" fontId="1" fillId="2" borderId="1" xfId="0" applyFont="1" applyFill="1" applyBorder="1" applyAlignment="1" applyProtection="1">
      <alignment horizontal="left" wrapText="1"/>
      <protection locked="0"/>
    </xf>
    <xf numFmtId="0" fontId="1" fillId="3" borderId="0" xfId="0" applyFont="1" applyFill="1" applyProtection="1">
      <protection locked="0"/>
    </xf>
    <xf numFmtId="1" fontId="0" fillId="0" borderId="1" xfId="0" applyNumberFormat="1" applyFill="1" applyBorder="1" applyAlignment="1" applyProtection="1">
      <alignment wrapText="1"/>
      <protection locked="0"/>
    </xf>
    <xf numFmtId="0" fontId="11" fillId="5" borderId="0" xfId="0" applyFont="1" applyFill="1" applyProtection="1">
      <protection locked="0"/>
    </xf>
    <xf numFmtId="0" fontId="11" fillId="5" borderId="0" xfId="0" applyFont="1" applyFill="1" applyAlignment="1" applyProtection="1">
      <alignment wrapText="1"/>
      <protection locked="0"/>
    </xf>
    <xf numFmtId="0" fontId="0" fillId="5" borderId="0" xfId="0" applyFill="1" applyProtection="1">
      <protection locked="0"/>
    </xf>
    <xf numFmtId="0" fontId="12" fillId="5" borderId="0" xfId="0" applyFont="1" applyFill="1" applyAlignment="1" applyProtection="1">
      <alignment horizontal="left"/>
      <protection locked="0"/>
    </xf>
    <xf numFmtId="0" fontId="11" fillId="5" borderId="0" xfId="0" applyFont="1" applyFill="1" applyAlignment="1" applyProtection="1">
      <alignment horizontal="left"/>
      <protection locked="0"/>
    </xf>
    <xf numFmtId="0" fontId="13" fillId="5" borderId="0" xfId="0" applyFont="1" applyFill="1" applyAlignment="1" applyProtection="1">
      <alignment horizontal="left"/>
      <protection locked="0"/>
    </xf>
    <xf numFmtId="0" fontId="13" fillId="5" borderId="0" xfId="0" applyFont="1" applyFill="1" applyProtection="1">
      <protection locked="0"/>
    </xf>
    <xf numFmtId="0" fontId="13" fillId="5" borderId="0" xfId="0" applyFont="1" applyFill="1" applyAlignment="1" applyProtection="1">
      <alignment vertical="center"/>
      <protection locked="0"/>
    </xf>
    <xf numFmtId="0" fontId="11" fillId="5" borderId="0" xfId="0" applyFont="1" applyFill="1" applyAlignment="1" applyProtection="1">
      <alignment vertical="center"/>
      <protection locked="0"/>
    </xf>
    <xf numFmtId="0" fontId="11" fillId="0" borderId="1" xfId="0" applyFont="1" applyFill="1" applyBorder="1" applyAlignment="1" applyProtection="1">
      <alignment horizontal="left"/>
      <protection locked="0"/>
    </xf>
    <xf numFmtId="0" fontId="11" fillId="0" borderId="1" xfId="0" applyFont="1" applyFill="1" applyBorder="1" applyProtection="1">
      <protection locked="0"/>
    </xf>
    <xf numFmtId="0" fontId="13" fillId="5" borderId="12" xfId="0" applyFont="1" applyFill="1" applyBorder="1" applyAlignment="1" applyProtection="1">
      <alignment vertical="center"/>
      <protection locked="0"/>
    </xf>
    <xf numFmtId="0" fontId="11" fillId="5" borderId="0" xfId="0" applyFont="1" applyFill="1" applyBorder="1" applyAlignment="1" applyProtection="1">
      <alignment horizontal="left"/>
      <protection locked="0"/>
    </xf>
    <xf numFmtId="0" fontId="11" fillId="5" borderId="0" xfId="0" applyFont="1" applyFill="1" applyBorder="1" applyProtection="1">
      <protection locked="0"/>
    </xf>
    <xf numFmtId="0" fontId="13" fillId="5" borderId="0" xfId="0" applyFont="1" applyFill="1" applyBorder="1" applyAlignment="1" applyProtection="1">
      <alignment vertical="center"/>
      <protection locked="0"/>
    </xf>
    <xf numFmtId="0" fontId="11" fillId="5" borderId="0" xfId="0" applyFont="1" applyFill="1" applyBorder="1" applyAlignment="1" applyProtection="1">
      <alignment vertical="center"/>
      <protection locked="0"/>
    </xf>
    <xf numFmtId="0" fontId="11" fillId="5" borderId="0" xfId="0" applyFont="1" applyFill="1" applyAlignment="1" applyProtection="1">
      <alignment vertical="top" wrapText="1"/>
      <protection locked="0"/>
    </xf>
    <xf numFmtId="0" fontId="11" fillId="5" borderId="0" xfId="0" applyFont="1" applyFill="1" applyAlignment="1" applyProtection="1">
      <alignment horizontal="left" vertical="top" wrapText="1"/>
      <protection locked="0"/>
    </xf>
    <xf numFmtId="9" fontId="11" fillId="0" borderId="1" xfId="0" applyNumberFormat="1" applyFont="1" applyFill="1" applyBorder="1" applyProtection="1">
      <protection locked="0"/>
    </xf>
    <xf numFmtId="164" fontId="11" fillId="0" borderId="1" xfId="0" applyNumberFormat="1" applyFont="1" applyFill="1" applyBorder="1" applyProtection="1">
      <protection locked="0"/>
    </xf>
    <xf numFmtId="164" fontId="11" fillId="5" borderId="0" xfId="0" applyNumberFormat="1" applyFont="1" applyFill="1" applyBorder="1" applyProtection="1">
      <protection locked="0"/>
    </xf>
    <xf numFmtId="0" fontId="13" fillId="5" borderId="0" xfId="0" applyFont="1" applyFill="1" applyProtection="1">
      <protection locked="0" hidden="1"/>
    </xf>
    <xf numFmtId="0" fontId="17" fillId="5" borderId="0" xfId="0" applyFont="1" applyFill="1" applyProtection="1">
      <protection locked="0" hidden="1"/>
    </xf>
    <xf numFmtId="0" fontId="0" fillId="5" borderId="0" xfId="0" applyFill="1" applyProtection="1">
      <protection locked="0" hidden="1"/>
    </xf>
    <xf numFmtId="0" fontId="11" fillId="5" borderId="0" xfId="0" applyFont="1" applyFill="1" applyAlignment="1" applyProtection="1">
      <alignment wrapText="1"/>
      <protection locked="0" hidden="1"/>
    </xf>
    <xf numFmtId="0" fontId="11" fillId="5" borderId="0" xfId="0" applyFont="1" applyFill="1" applyProtection="1">
      <protection locked="0" hidden="1"/>
    </xf>
    <xf numFmtId="0" fontId="11" fillId="5" borderId="0" xfId="0" applyFont="1" applyFill="1" applyBorder="1" applyProtection="1">
      <protection locked="0" hidden="1"/>
    </xf>
    <xf numFmtId="0" fontId="0" fillId="0" borderId="1" xfId="0" applyFont="1" applyFill="1" applyBorder="1"/>
    <xf numFmtId="0" fontId="19" fillId="5" borderId="0" xfId="0" applyFont="1" applyFill="1" applyBorder="1" applyProtection="1">
      <protection hidden="1"/>
    </xf>
    <xf numFmtId="0" fontId="3" fillId="2" borderId="2" xfId="0" applyFont="1" applyFill="1" applyBorder="1" applyAlignment="1" applyProtection="1">
      <alignment horizontal="left" vertical="top" wrapText="1"/>
      <protection locked="0"/>
    </xf>
    <xf numFmtId="0" fontId="3" fillId="2" borderId="3" xfId="0" applyFont="1" applyFill="1" applyBorder="1" applyAlignment="1" applyProtection="1">
      <alignment horizontal="left" vertical="top" wrapText="1"/>
      <protection locked="0"/>
    </xf>
    <xf numFmtId="0" fontId="3" fillId="2" borderId="4" xfId="0" applyFont="1" applyFill="1" applyBorder="1" applyAlignment="1" applyProtection="1">
      <alignment horizontal="left" vertical="top" wrapText="1"/>
      <protection locked="0"/>
    </xf>
    <xf numFmtId="0" fontId="0" fillId="0" borderId="5" xfId="0" applyFill="1" applyBorder="1" applyAlignment="1" applyProtection="1">
      <alignment horizontal="left" vertical="top" wrapText="1"/>
      <protection locked="0"/>
    </xf>
    <xf numFmtId="0" fontId="0" fillId="0" borderId="0" xfId="0" applyFill="1" applyBorder="1" applyAlignment="1" applyProtection="1">
      <alignment horizontal="left" vertical="top" wrapText="1"/>
      <protection locked="0"/>
    </xf>
    <xf numFmtId="0" fontId="0" fillId="0" borderId="6" xfId="0" applyFill="1" applyBorder="1" applyAlignment="1" applyProtection="1">
      <alignment horizontal="left" vertical="top" wrapText="1"/>
      <protection locked="0"/>
    </xf>
    <xf numFmtId="0" fontId="0" fillId="0" borderId="7" xfId="0" applyFill="1" applyBorder="1" applyAlignment="1" applyProtection="1">
      <alignment horizontal="left" vertical="top" wrapText="1"/>
      <protection locked="0"/>
    </xf>
    <xf numFmtId="0" fontId="0" fillId="0" borderId="8" xfId="0" applyFill="1" applyBorder="1" applyAlignment="1" applyProtection="1">
      <alignment horizontal="left" vertical="top" wrapText="1"/>
      <protection locked="0"/>
    </xf>
    <xf numFmtId="0" fontId="0" fillId="0" borderId="9" xfId="0" applyFill="1" applyBorder="1" applyAlignment="1" applyProtection="1">
      <alignment horizontal="left" vertical="top" wrapText="1"/>
      <protection locked="0"/>
    </xf>
    <xf numFmtId="0" fontId="7" fillId="3" borderId="1" xfId="0" applyFont="1" applyFill="1" applyBorder="1" applyAlignment="1" applyProtection="1">
      <alignment horizontal="left" wrapText="1"/>
      <protection locked="0"/>
    </xf>
    <xf numFmtId="0" fontId="6" fillId="0" borderId="1" xfId="0" applyFont="1" applyFill="1" applyBorder="1" applyAlignment="1" applyProtection="1">
      <alignment horizontal="left"/>
      <protection locked="0"/>
    </xf>
    <xf numFmtId="0" fontId="1" fillId="2" borderId="2" xfId="0" applyFont="1" applyFill="1" applyBorder="1" applyAlignment="1" applyProtection="1">
      <alignment horizontal="left" vertical="top" wrapText="1"/>
      <protection locked="0"/>
    </xf>
    <xf numFmtId="0" fontId="1" fillId="2" borderId="3" xfId="0" applyFont="1" applyFill="1" applyBorder="1" applyAlignment="1" applyProtection="1">
      <alignment horizontal="left" vertical="top" wrapText="1"/>
      <protection locked="0"/>
    </xf>
    <xf numFmtId="0" fontId="1" fillId="2" borderId="4" xfId="0" applyFont="1" applyFill="1" applyBorder="1" applyAlignment="1" applyProtection="1">
      <alignment horizontal="left" vertical="top" wrapText="1"/>
      <protection locked="0"/>
    </xf>
    <xf numFmtId="0" fontId="1" fillId="2" borderId="5" xfId="0" applyFont="1" applyFill="1" applyBorder="1" applyAlignment="1" applyProtection="1">
      <alignment horizontal="left" vertical="top" wrapText="1"/>
      <protection locked="0"/>
    </xf>
    <xf numFmtId="0" fontId="1" fillId="2" borderId="0" xfId="0" applyFont="1" applyFill="1" applyBorder="1" applyAlignment="1" applyProtection="1">
      <alignment horizontal="left" vertical="top" wrapText="1"/>
      <protection locked="0"/>
    </xf>
    <xf numFmtId="0" fontId="1" fillId="2" borderId="6" xfId="0" applyFont="1" applyFill="1" applyBorder="1" applyAlignment="1" applyProtection="1">
      <alignment horizontal="left" vertical="top" wrapText="1"/>
      <protection locked="0"/>
    </xf>
    <xf numFmtId="0" fontId="1" fillId="2" borderId="7" xfId="0" applyFont="1" applyFill="1" applyBorder="1" applyAlignment="1" applyProtection="1">
      <alignment horizontal="left" vertical="top" wrapText="1"/>
      <protection locked="0"/>
    </xf>
    <xf numFmtId="0" fontId="1" fillId="2" borderId="8" xfId="0" applyFont="1" applyFill="1" applyBorder="1" applyAlignment="1" applyProtection="1">
      <alignment horizontal="left" vertical="top" wrapText="1"/>
      <protection locked="0"/>
    </xf>
    <xf numFmtId="0" fontId="1" fillId="2" borderId="9" xfId="0" applyFont="1" applyFill="1" applyBorder="1" applyAlignment="1" applyProtection="1">
      <alignment horizontal="left" vertical="top" wrapText="1"/>
      <protection locked="0"/>
    </xf>
    <xf numFmtId="0" fontId="0" fillId="0" borderId="1" xfId="0" applyFill="1" applyBorder="1" applyAlignment="1" applyProtection="1">
      <alignment wrapText="1"/>
      <protection locked="0"/>
    </xf>
    <xf numFmtId="0" fontId="1" fillId="2" borderId="1" xfId="0" applyFont="1" applyFill="1" applyBorder="1" applyAlignment="1" applyProtection="1">
      <alignment wrapText="1"/>
      <protection hidden="1"/>
    </xf>
    <xf numFmtId="0" fontId="0" fillId="0" borderId="10" xfId="0" applyFill="1" applyBorder="1" applyAlignment="1" applyProtection="1">
      <alignment wrapText="1"/>
      <protection locked="0"/>
    </xf>
    <xf numFmtId="0" fontId="0" fillId="0" borderId="11" xfId="0" applyFill="1" applyBorder="1" applyAlignment="1" applyProtection="1">
      <alignment wrapText="1"/>
      <protection locked="0"/>
    </xf>
    <xf numFmtId="0" fontId="0" fillId="0" borderId="1" xfId="0" applyFill="1" applyBorder="1" applyAlignment="1" applyProtection="1">
      <alignment horizontal="left" wrapText="1"/>
      <protection locked="0"/>
    </xf>
    <xf numFmtId="0" fontId="18" fillId="3" borderId="0" xfId="0" applyFont="1" applyFill="1" applyBorder="1" applyAlignment="1" applyProtection="1">
      <alignment horizontal="left" vertical="center" wrapText="1"/>
      <protection locked="0"/>
    </xf>
    <xf numFmtId="0" fontId="0" fillId="3" borderId="0" xfId="0" applyFill="1" applyBorder="1" applyAlignment="1" applyProtection="1">
      <alignment horizontal="center" wrapText="1"/>
      <protection locked="0"/>
    </xf>
    <xf numFmtId="0" fontId="2" fillId="3" borderId="0" xfId="0" applyFont="1" applyFill="1" applyBorder="1" applyAlignment="1" applyProtection="1">
      <alignment horizontal="left" wrapText="1"/>
      <protection locked="0"/>
    </xf>
    <xf numFmtId="0" fontId="1" fillId="2" borderId="1" xfId="0" applyFont="1" applyFill="1" applyBorder="1" applyAlignment="1" applyProtection="1">
      <alignment horizontal="left" wrapText="1"/>
      <protection locked="0"/>
    </xf>
    <xf numFmtId="14" fontId="0" fillId="0" borderId="1" xfId="0" applyNumberFormat="1" applyFill="1" applyBorder="1" applyAlignment="1" applyProtection="1">
      <alignment horizontal="left" wrapText="1"/>
      <protection locked="0"/>
    </xf>
    <xf numFmtId="0" fontId="11" fillId="0" borderId="10" xfId="0" applyFont="1" applyFill="1" applyBorder="1" applyAlignment="1" applyProtection="1">
      <alignment horizontal="left" wrapText="1"/>
      <protection locked="0" hidden="1"/>
    </xf>
    <xf numFmtId="0" fontId="11" fillId="0" borderId="13" xfId="0" applyFont="1" applyFill="1" applyBorder="1" applyAlignment="1" applyProtection="1">
      <alignment horizontal="left" wrapText="1"/>
      <protection locked="0" hidden="1"/>
    </xf>
    <xf numFmtId="0" fontId="11" fillId="0" borderId="11" xfId="0" applyFont="1" applyFill="1" applyBorder="1" applyAlignment="1" applyProtection="1">
      <alignment horizontal="left" wrapText="1"/>
      <protection locked="0" hidden="1"/>
    </xf>
    <xf numFmtId="0" fontId="11" fillId="0" borderId="10" xfId="0" applyFont="1" applyFill="1" applyBorder="1" applyAlignment="1" applyProtection="1">
      <alignment horizontal="left"/>
      <protection locked="0" hidden="1"/>
    </xf>
    <xf numFmtId="0" fontId="11" fillId="0" borderId="11" xfId="0" applyFont="1" applyFill="1" applyBorder="1" applyAlignment="1" applyProtection="1">
      <alignment horizontal="left"/>
      <protection locked="0" hidden="1"/>
    </xf>
    <xf numFmtId="0" fontId="13" fillId="5" borderId="0" xfId="0" applyFont="1" applyFill="1" applyAlignment="1" applyProtection="1">
      <alignment horizontal="left" wrapText="1"/>
      <protection locked="0"/>
    </xf>
    <xf numFmtId="0" fontId="13" fillId="5" borderId="0" xfId="0" applyFont="1" applyFill="1" applyBorder="1" applyAlignment="1" applyProtection="1">
      <alignment horizontal="left"/>
      <protection locked="0"/>
    </xf>
    <xf numFmtId="0" fontId="15" fillId="2" borderId="10" xfId="0" applyFont="1" applyFill="1" applyBorder="1" applyAlignment="1" applyProtection="1">
      <alignment horizontal="left" vertical="top" wrapText="1"/>
      <protection locked="0"/>
    </xf>
    <xf numFmtId="0" fontId="14" fillId="2" borderId="13" xfId="0" applyFont="1" applyFill="1" applyBorder="1" applyAlignment="1" applyProtection="1">
      <alignment horizontal="left" vertical="top"/>
      <protection locked="0"/>
    </xf>
    <xf numFmtId="0" fontId="14" fillId="2" borderId="11" xfId="0" applyFont="1" applyFill="1" applyBorder="1" applyAlignment="1" applyProtection="1">
      <alignment horizontal="left" vertical="top"/>
      <protection locked="0"/>
    </xf>
    <xf numFmtId="0" fontId="12" fillId="5" borderId="0" xfId="0" applyFont="1" applyFill="1" applyAlignment="1" applyProtection="1">
      <alignment horizontal="left"/>
      <protection locked="0"/>
    </xf>
    <xf numFmtId="0" fontId="11" fillId="5" borderId="0" xfId="0" applyFont="1" applyFill="1" applyAlignment="1" applyProtection="1">
      <alignment horizontal="left" vertical="top" wrapText="1"/>
      <protection locked="0"/>
    </xf>
    <xf numFmtId="0" fontId="13" fillId="5" borderId="0" xfId="0" applyFont="1" applyFill="1" applyAlignment="1" applyProtection="1">
      <alignment horizontal="left"/>
      <protection locked="0"/>
    </xf>
    <xf numFmtId="0" fontId="11" fillId="0" borderId="10" xfId="0" applyFont="1" applyFill="1" applyBorder="1" applyAlignment="1" applyProtection="1">
      <alignment horizontal="left" vertical="top" wrapText="1"/>
      <protection locked="0"/>
    </xf>
    <xf numFmtId="0" fontId="11" fillId="0" borderId="13" xfId="0" applyFont="1" applyFill="1" applyBorder="1" applyAlignment="1" applyProtection="1">
      <alignment horizontal="left" vertical="top" wrapText="1"/>
      <protection locked="0"/>
    </xf>
    <xf numFmtId="0" fontId="11" fillId="0" borderId="11" xfId="0" applyFont="1" applyFill="1" applyBorder="1" applyAlignment="1" applyProtection="1">
      <alignment horizontal="left" vertical="top" wrapText="1"/>
      <protection locked="0"/>
    </xf>
    <xf numFmtId="0" fontId="11" fillId="0" borderId="2" xfId="0" applyFont="1" applyFill="1" applyBorder="1" applyAlignment="1" applyProtection="1">
      <alignment horizontal="left" vertical="top"/>
      <protection locked="0"/>
    </xf>
    <xf numFmtId="0" fontId="11" fillId="0" borderId="3" xfId="0" applyFont="1" applyFill="1" applyBorder="1" applyAlignment="1" applyProtection="1">
      <alignment horizontal="left" vertical="top"/>
      <protection locked="0"/>
    </xf>
    <xf numFmtId="0" fontId="11" fillId="0" borderId="4" xfId="0" applyFont="1" applyFill="1" applyBorder="1" applyAlignment="1" applyProtection="1">
      <alignment horizontal="left" vertical="top"/>
      <protection locked="0"/>
    </xf>
    <xf numFmtId="0" fontId="11" fillId="0" borderId="5" xfId="0" applyFont="1" applyFill="1" applyBorder="1" applyAlignment="1" applyProtection="1">
      <alignment horizontal="left" vertical="top"/>
      <protection locked="0"/>
    </xf>
    <xf numFmtId="0" fontId="11" fillId="0" borderId="0" xfId="0" applyFont="1" applyFill="1" applyBorder="1" applyAlignment="1" applyProtection="1">
      <alignment horizontal="left" vertical="top"/>
      <protection locked="0"/>
    </xf>
    <xf numFmtId="0" fontId="11" fillId="0" borderId="6" xfId="0" applyFont="1" applyFill="1" applyBorder="1" applyAlignment="1" applyProtection="1">
      <alignment horizontal="left" vertical="top"/>
      <protection locked="0"/>
    </xf>
    <xf numFmtId="0" fontId="11" fillId="0" borderId="7" xfId="0" applyFont="1" applyFill="1" applyBorder="1" applyAlignment="1" applyProtection="1">
      <alignment horizontal="left" vertical="top"/>
      <protection locked="0"/>
    </xf>
    <xf numFmtId="0" fontId="11" fillId="0" borderId="8" xfId="0" applyFont="1" applyFill="1" applyBorder="1" applyAlignment="1" applyProtection="1">
      <alignment horizontal="left" vertical="top"/>
      <protection locked="0"/>
    </xf>
    <xf numFmtId="0" fontId="11" fillId="0" borderId="9" xfId="0" applyFont="1" applyFill="1" applyBorder="1" applyAlignment="1" applyProtection="1">
      <alignment horizontal="left" vertical="top"/>
      <protection locked="0"/>
    </xf>
    <xf numFmtId="0" fontId="13" fillId="5" borderId="0" xfId="0" applyFont="1" applyFill="1" applyBorder="1" applyAlignment="1" applyProtection="1">
      <alignment horizontal="center"/>
      <protection locked="0"/>
    </xf>
    <xf numFmtId="0" fontId="11" fillId="5" borderId="0" xfId="0" applyFont="1" applyFill="1" applyBorder="1" applyAlignment="1" applyProtection="1">
      <alignment horizontal="left" wrapText="1"/>
      <protection locked="0"/>
    </xf>
    <xf numFmtId="0" fontId="0" fillId="0" borderId="0" xfId="0" applyAlignment="1">
      <alignment horizontal="center" wrapText="1"/>
    </xf>
  </cellXfs>
  <cellStyles count="4">
    <cellStyle name="Normal" xfId="0" builtinId="0"/>
    <cellStyle name="Normal 2" xfId="2" xr:uid="{87737C8F-61E0-4DF6-BA84-FF0ADF534884}"/>
    <cellStyle name="Normal 3" xfId="1" xr:uid="{719E74D3-F8E4-4743-84D2-77CBA0BC41C6}"/>
    <cellStyle name="Normal 4" xfId="3" xr:uid="{0E3479FE-DA31-4714-B769-BFF1C9D05F10}"/>
  </cellStyles>
  <dxfs count="0"/>
  <tableStyles count="0" defaultTableStyle="TableStyleMedium2" defaultPivotStyle="PivotStyleLight16"/>
  <colors>
    <mruColors>
      <color rgb="FFD6DCDA"/>
      <color rgb="FFBDD7EE"/>
      <color rgb="FF00FF00"/>
      <color rgb="FF0000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openxmlformats.org/officeDocument/2006/relationships/worksheet" Target="worksheets/sheet4.xml"/><Relationship Id="rId9" Type="http://schemas.microsoft.com/office/2006/relationships/vbaProject" Target="vbaProject.bin"/></Relationships>
</file>

<file path=xl/ctrlProps/ctrlProp1.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1.jpeg"/></Relationships>
</file>

<file path=xl/drawings/drawing1.xml><?xml version="1.0" encoding="utf-8"?>
<xdr:wsDr xmlns:xdr="http://schemas.openxmlformats.org/drawingml/2006/spreadsheetDrawing" xmlns:a="http://schemas.openxmlformats.org/drawingml/2006/main">
  <xdr:twoCellAnchor editAs="oneCell">
    <xdr:from>
      <xdr:col>3</xdr:col>
      <xdr:colOff>1097281</xdr:colOff>
      <xdr:row>0</xdr:row>
      <xdr:rowOff>243840</xdr:rowOff>
    </xdr:from>
    <xdr:to>
      <xdr:col>4</xdr:col>
      <xdr:colOff>1040719</xdr:colOff>
      <xdr:row>1</xdr:row>
      <xdr:rowOff>319893</xdr:rowOff>
    </xdr:to>
    <xdr:pic>
      <xdr:nvPicPr>
        <xdr:cNvPr id="2" name="Picture 1">
          <a:extLst>
            <a:ext uri="{FF2B5EF4-FFF2-40B4-BE49-F238E27FC236}">
              <a16:creationId xmlns:a16="http://schemas.microsoft.com/office/drawing/2014/main" id="{00000000-0008-0000-0000-000002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3878581" y="243840"/>
          <a:ext cx="1086438" cy="495153"/>
        </a:xfrm>
        <a:prstGeom prst="roundRect">
          <a:avLst>
            <a:gd name="adj" fmla="val 8594"/>
          </a:avLst>
        </a:prstGeom>
        <a:solidFill>
          <a:srgbClr val="FFFFFF">
            <a:shade val="85000"/>
          </a:srgbClr>
        </a:solidFill>
        <a:ln>
          <a:noFill/>
        </a:ln>
        <a:effectLst>
          <a:reflection blurRad="12700" stA="38000" endPos="28000" dist="5000" dir="5400000" sy="-100000" algn="bl" rotWithShape="0"/>
        </a:effectLst>
      </xdr:spPr>
    </xdr:pic>
    <xdr:clientData/>
  </xdr:twoCellAnchor>
  <mc:AlternateContent xmlns:mc="http://schemas.openxmlformats.org/markup-compatibility/2006">
    <mc:Choice xmlns:a14="http://schemas.microsoft.com/office/drawing/2010/main" Requires="a14">
      <xdr:twoCellAnchor>
        <xdr:from>
          <xdr:col>4</xdr:col>
          <xdr:colOff>99060</xdr:colOff>
          <xdr:row>58</xdr:row>
          <xdr:rowOff>114300</xdr:rowOff>
        </xdr:from>
        <xdr:to>
          <xdr:col>6</xdr:col>
          <xdr:colOff>0</xdr:colOff>
          <xdr:row>60</xdr:row>
          <xdr:rowOff>68580</xdr:rowOff>
        </xdr:to>
        <xdr:sp macro="" textlink="">
          <xdr:nvSpPr>
            <xdr:cNvPr id="1025" name="Button 1" hidden="1">
              <a:extLst>
                <a:ext uri="{63B3BB69-23CF-44E3-9099-C40C66FF867C}">
                  <a14:compatExt spid="_x0000_s1025"/>
                </a:ext>
                <a:ext uri="{FF2B5EF4-FFF2-40B4-BE49-F238E27FC236}">
                  <a16:creationId xmlns:a16="http://schemas.microsoft.com/office/drawing/2014/main" id="{00000000-0008-0000-0000-0000010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Add Sheet</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7F2BA09-FBD5-4F54-ABB7-2CA68A96D32F}">
  <sheetPr codeName="Sheet1"/>
  <dimension ref="A1:I60"/>
  <sheetViews>
    <sheetView showGridLines="0" workbookViewId="0">
      <selection activeCell="C11" sqref="C11"/>
    </sheetView>
  </sheetViews>
  <sheetFormatPr defaultRowHeight="14.4" x14ac:dyDescent="0.3"/>
  <cols>
    <col min="1" max="1" width="3.77734375" style="29" customWidth="1"/>
    <col min="2" max="2" width="18.5546875" style="30" customWidth="1"/>
    <col min="3" max="3" width="18.21875" style="30" customWidth="1"/>
    <col min="4" max="4" width="16.6640625" style="30" customWidth="1"/>
    <col min="5" max="5" width="15.88671875" style="29" customWidth="1"/>
    <col min="6" max="6" width="2.77734375" style="29" customWidth="1"/>
    <col min="7" max="7" width="4.44140625" style="29" customWidth="1"/>
    <col min="8" max="8" width="31.21875" style="30" customWidth="1"/>
    <col min="9" max="9" width="42.109375" style="29" customWidth="1"/>
    <col min="10" max="16384" width="8.88671875" style="29"/>
  </cols>
  <sheetData>
    <row r="1" spans="1:9" ht="33" customHeight="1" x14ac:dyDescent="0.3">
      <c r="A1" s="96" t="s">
        <v>0</v>
      </c>
      <c r="B1" s="96"/>
      <c r="C1" s="96"/>
      <c r="D1" s="96"/>
      <c r="E1" s="97"/>
      <c r="F1" s="28"/>
    </row>
    <row r="2" spans="1:9" ht="33" customHeight="1" x14ac:dyDescent="0.3">
      <c r="A2" s="96"/>
      <c r="B2" s="96"/>
      <c r="C2" s="96"/>
      <c r="D2" s="96"/>
      <c r="E2" s="97"/>
      <c r="F2" s="28"/>
    </row>
    <row r="3" spans="1:9" ht="14.4" customHeight="1" x14ac:dyDescent="0.3">
      <c r="A3" s="31"/>
      <c r="B3" s="28"/>
      <c r="C3" s="28"/>
      <c r="D3" s="28"/>
      <c r="E3" s="28"/>
      <c r="F3" s="28"/>
    </row>
    <row r="4" spans="1:9" ht="18" customHeight="1" x14ac:dyDescent="0.35">
      <c r="A4" s="98" t="s">
        <v>7</v>
      </c>
      <c r="B4" s="98"/>
      <c r="C4" s="98"/>
      <c r="D4" s="98"/>
      <c r="E4" s="98"/>
      <c r="F4" s="31"/>
    </row>
    <row r="5" spans="1:9" x14ac:dyDescent="0.3">
      <c r="A5" s="31"/>
      <c r="B5" s="32" t="s">
        <v>6</v>
      </c>
      <c r="C5" s="95" t="s">
        <v>225</v>
      </c>
      <c r="D5" s="95"/>
      <c r="E5" s="95"/>
      <c r="F5" s="31"/>
    </row>
    <row r="6" spans="1:9" x14ac:dyDescent="0.3">
      <c r="A6" s="31"/>
      <c r="B6" s="32" t="s">
        <v>12</v>
      </c>
      <c r="C6" s="95" t="s">
        <v>229</v>
      </c>
      <c r="D6" s="95"/>
      <c r="E6" s="95"/>
      <c r="F6" s="31"/>
      <c r="H6" s="33"/>
      <c r="I6" s="34"/>
    </row>
    <row r="7" spans="1:9" x14ac:dyDescent="0.3">
      <c r="A7" s="31"/>
      <c r="B7" s="32" t="s">
        <v>13</v>
      </c>
      <c r="C7" s="95" t="s">
        <v>230</v>
      </c>
      <c r="D7" s="95"/>
      <c r="E7" s="95"/>
      <c r="F7" s="31"/>
      <c r="H7" s="33"/>
      <c r="I7" s="34"/>
    </row>
    <row r="8" spans="1:9" x14ac:dyDescent="0.3">
      <c r="A8" s="31"/>
      <c r="B8" s="32" t="s">
        <v>14</v>
      </c>
      <c r="C8" s="95" t="s">
        <v>41</v>
      </c>
      <c r="D8" s="95"/>
      <c r="E8" s="95"/>
      <c r="F8" s="31"/>
      <c r="H8" s="33"/>
      <c r="I8" s="34"/>
    </row>
    <row r="9" spans="1:9" x14ac:dyDescent="0.3">
      <c r="A9" s="31"/>
      <c r="B9" s="32" t="s">
        <v>15</v>
      </c>
      <c r="C9" s="95" t="s">
        <v>44</v>
      </c>
      <c r="D9" s="95"/>
      <c r="E9" s="95"/>
      <c r="F9" s="31"/>
    </row>
    <row r="10" spans="1:9" x14ac:dyDescent="0.3">
      <c r="A10" s="31"/>
      <c r="B10" s="32" t="s">
        <v>221</v>
      </c>
      <c r="C10" s="95" t="s">
        <v>42</v>
      </c>
      <c r="D10" s="95"/>
      <c r="E10" s="95"/>
      <c r="F10" s="31"/>
    </row>
    <row r="11" spans="1:9" ht="14.4" customHeight="1" x14ac:dyDescent="0.3">
      <c r="A11" s="31"/>
      <c r="B11" s="28"/>
      <c r="C11" s="28"/>
      <c r="D11" s="28"/>
      <c r="E11" s="31"/>
      <c r="F11" s="31"/>
    </row>
    <row r="12" spans="1:9" ht="18" customHeight="1" x14ac:dyDescent="0.35">
      <c r="A12" s="98" t="s">
        <v>8</v>
      </c>
      <c r="B12" s="98"/>
      <c r="C12" s="98"/>
      <c r="D12" s="98"/>
      <c r="E12" s="98"/>
      <c r="F12" s="31"/>
    </row>
    <row r="13" spans="1:9" x14ac:dyDescent="0.3">
      <c r="A13" s="31"/>
      <c r="B13" s="32" t="s">
        <v>9</v>
      </c>
      <c r="C13" s="95"/>
      <c r="D13" s="95"/>
      <c r="E13" s="95"/>
      <c r="F13" s="31"/>
    </row>
    <row r="14" spans="1:9" x14ac:dyDescent="0.3">
      <c r="A14" s="31"/>
      <c r="B14" s="32" t="s">
        <v>1</v>
      </c>
      <c r="C14" s="95" t="s">
        <v>226</v>
      </c>
      <c r="D14" s="95"/>
      <c r="E14" s="95"/>
      <c r="F14" s="31"/>
    </row>
    <row r="15" spans="1:9" x14ac:dyDescent="0.3">
      <c r="A15" s="31"/>
      <c r="B15" s="32" t="s">
        <v>10</v>
      </c>
      <c r="C15" s="95" t="s">
        <v>51</v>
      </c>
      <c r="D15" s="95"/>
      <c r="E15" s="95"/>
      <c r="F15" s="31"/>
    </row>
    <row r="16" spans="1:9" x14ac:dyDescent="0.3">
      <c r="A16" s="31"/>
      <c r="B16" s="32" t="s">
        <v>2</v>
      </c>
      <c r="C16" s="95" t="s">
        <v>49</v>
      </c>
      <c r="D16" s="95"/>
      <c r="E16" s="95"/>
      <c r="F16" s="31"/>
    </row>
    <row r="17" spans="1:6" x14ac:dyDescent="0.3">
      <c r="A17" s="31"/>
      <c r="B17" s="28"/>
      <c r="C17" s="28"/>
      <c r="D17" s="28"/>
      <c r="E17" s="31"/>
      <c r="F17" s="31"/>
    </row>
    <row r="18" spans="1:6" ht="18" customHeight="1" x14ac:dyDescent="0.35">
      <c r="A18" s="98" t="s">
        <v>11</v>
      </c>
      <c r="B18" s="98"/>
      <c r="C18" s="98"/>
      <c r="D18" s="98"/>
      <c r="E18" s="98"/>
      <c r="F18" s="31"/>
    </row>
    <row r="19" spans="1:6" x14ac:dyDescent="0.3">
      <c r="A19" s="31"/>
      <c r="B19" s="32" t="s">
        <v>3</v>
      </c>
      <c r="C19" s="100">
        <v>43439</v>
      </c>
      <c r="D19" s="100"/>
      <c r="E19" s="100"/>
      <c r="F19" s="31"/>
    </row>
    <row r="20" spans="1:6" x14ac:dyDescent="0.3">
      <c r="A20" s="31"/>
      <c r="B20" s="32" t="s">
        <v>4</v>
      </c>
      <c r="C20" s="100">
        <v>43451</v>
      </c>
      <c r="D20" s="95"/>
      <c r="E20" s="95"/>
      <c r="F20" s="31"/>
    </row>
    <row r="21" spans="1:6" x14ac:dyDescent="0.3">
      <c r="A21" s="31"/>
      <c r="B21" s="32" t="s">
        <v>5</v>
      </c>
      <c r="C21" s="100">
        <v>43453</v>
      </c>
      <c r="D21" s="95"/>
      <c r="E21" s="95"/>
      <c r="F21" s="31"/>
    </row>
    <row r="22" spans="1:6" ht="28.8" x14ac:dyDescent="0.3">
      <c r="A22" s="31"/>
      <c r="B22" s="32" t="s">
        <v>16</v>
      </c>
      <c r="C22" s="95" t="s">
        <v>227</v>
      </c>
      <c r="D22" s="95"/>
      <c r="E22" s="95"/>
      <c r="F22" s="31"/>
    </row>
    <row r="23" spans="1:6" x14ac:dyDescent="0.3">
      <c r="A23" s="31"/>
      <c r="B23" s="28"/>
      <c r="C23" s="28"/>
      <c r="D23" s="28"/>
      <c r="E23" s="31"/>
      <c r="F23" s="31"/>
    </row>
    <row r="24" spans="1:6" ht="18" customHeight="1" x14ac:dyDescent="0.35">
      <c r="A24" s="98" t="s">
        <v>17</v>
      </c>
      <c r="B24" s="98"/>
      <c r="C24" s="98"/>
      <c r="D24" s="98"/>
      <c r="E24" s="98"/>
      <c r="F24" s="31"/>
    </row>
    <row r="25" spans="1:6" ht="28.2" customHeight="1" x14ac:dyDescent="0.3">
      <c r="A25" s="31"/>
      <c r="B25" s="71" t="s">
        <v>18</v>
      </c>
      <c r="C25" s="72"/>
      <c r="D25" s="72"/>
      <c r="E25" s="73"/>
      <c r="F25" s="31"/>
    </row>
    <row r="26" spans="1:6" x14ac:dyDescent="0.3">
      <c r="A26" s="31"/>
      <c r="B26" s="74" t="s">
        <v>228</v>
      </c>
      <c r="C26" s="75"/>
      <c r="D26" s="75"/>
      <c r="E26" s="76"/>
      <c r="F26" s="31"/>
    </row>
    <row r="27" spans="1:6" x14ac:dyDescent="0.3">
      <c r="A27" s="31"/>
      <c r="B27" s="74"/>
      <c r="C27" s="75"/>
      <c r="D27" s="75"/>
      <c r="E27" s="76"/>
      <c r="F27" s="31"/>
    </row>
    <row r="28" spans="1:6" x14ac:dyDescent="0.3">
      <c r="A28" s="31"/>
      <c r="B28" s="74"/>
      <c r="C28" s="75"/>
      <c r="D28" s="75"/>
      <c r="E28" s="76"/>
      <c r="F28" s="31"/>
    </row>
    <row r="29" spans="1:6" x14ac:dyDescent="0.3">
      <c r="A29" s="35"/>
      <c r="B29" s="74"/>
      <c r="C29" s="75"/>
      <c r="D29" s="75"/>
      <c r="E29" s="76"/>
      <c r="F29" s="35"/>
    </row>
    <row r="30" spans="1:6" x14ac:dyDescent="0.3">
      <c r="A30" s="35"/>
      <c r="B30" s="74"/>
      <c r="C30" s="75"/>
      <c r="D30" s="75"/>
      <c r="E30" s="76"/>
      <c r="F30" s="35"/>
    </row>
    <row r="31" spans="1:6" x14ac:dyDescent="0.3">
      <c r="A31" s="35"/>
      <c r="B31" s="74"/>
      <c r="C31" s="75"/>
      <c r="D31" s="75"/>
      <c r="E31" s="76"/>
      <c r="F31" s="35"/>
    </row>
    <row r="32" spans="1:6" x14ac:dyDescent="0.3">
      <c r="A32" s="35"/>
      <c r="B32" s="74"/>
      <c r="C32" s="75"/>
      <c r="D32" s="75"/>
      <c r="E32" s="76"/>
      <c r="F32" s="35"/>
    </row>
    <row r="33" spans="1:6" x14ac:dyDescent="0.3">
      <c r="A33" s="35"/>
      <c r="B33" s="74"/>
      <c r="C33" s="75"/>
      <c r="D33" s="75"/>
      <c r="E33" s="76"/>
      <c r="F33" s="35"/>
    </row>
    <row r="34" spans="1:6" x14ac:dyDescent="0.3">
      <c r="A34" s="35"/>
      <c r="B34" s="74"/>
      <c r="C34" s="75"/>
      <c r="D34" s="75"/>
      <c r="E34" s="76"/>
      <c r="F34" s="35"/>
    </row>
    <row r="35" spans="1:6" x14ac:dyDescent="0.3">
      <c r="A35" s="35"/>
      <c r="B35" s="74"/>
      <c r="C35" s="75"/>
      <c r="D35" s="75"/>
      <c r="E35" s="76"/>
      <c r="F35" s="35"/>
    </row>
    <row r="36" spans="1:6" x14ac:dyDescent="0.3">
      <c r="A36" s="35"/>
      <c r="B36" s="74"/>
      <c r="C36" s="75"/>
      <c r="D36" s="75"/>
      <c r="E36" s="76"/>
      <c r="F36" s="35"/>
    </row>
    <row r="37" spans="1:6" x14ac:dyDescent="0.3">
      <c r="A37" s="35"/>
      <c r="B37" s="77"/>
      <c r="C37" s="78"/>
      <c r="D37" s="78"/>
      <c r="E37" s="79"/>
      <c r="F37" s="35"/>
    </row>
    <row r="38" spans="1:6" ht="7.8" customHeight="1" x14ac:dyDescent="0.3">
      <c r="A38" s="35"/>
      <c r="B38" s="36"/>
      <c r="C38" s="36"/>
      <c r="D38" s="36"/>
      <c r="E38" s="35"/>
      <c r="F38" s="35"/>
    </row>
    <row r="39" spans="1:6" x14ac:dyDescent="0.3">
      <c r="A39" s="37"/>
      <c r="B39" s="38"/>
      <c r="C39" s="38"/>
      <c r="D39" s="38"/>
      <c r="E39" s="37"/>
      <c r="F39" s="37"/>
    </row>
    <row r="40" spans="1:6" ht="9" customHeight="1" x14ac:dyDescent="0.3">
      <c r="A40" s="35"/>
      <c r="B40" s="36"/>
      <c r="C40" s="36"/>
      <c r="D40" s="36"/>
      <c r="E40" s="35"/>
      <c r="F40" s="35"/>
    </row>
    <row r="41" spans="1:6" ht="59.4" customHeight="1" x14ac:dyDescent="0.3">
      <c r="A41" s="35"/>
      <c r="B41" s="99" t="s">
        <v>222</v>
      </c>
      <c r="C41" s="99"/>
      <c r="D41" s="39" t="s">
        <v>54</v>
      </c>
      <c r="E41" s="39" t="s">
        <v>55</v>
      </c>
      <c r="F41" s="35"/>
    </row>
    <row r="42" spans="1:6" x14ac:dyDescent="0.3">
      <c r="A42" s="40">
        <v>1</v>
      </c>
      <c r="B42" s="91" t="s">
        <v>56</v>
      </c>
      <c r="C42" s="91"/>
      <c r="D42" s="41">
        <v>2</v>
      </c>
      <c r="E42" s="24">
        <f>$D42 + CEILING($D42 * 30%, 1)</f>
        <v>3</v>
      </c>
      <c r="F42" s="35"/>
    </row>
    <row r="43" spans="1:6" x14ac:dyDescent="0.3">
      <c r="A43" s="40">
        <v>2</v>
      </c>
      <c r="B43" s="91"/>
      <c r="C43" s="91"/>
      <c r="D43" s="41"/>
      <c r="E43" s="24">
        <f t="shared" ref="E43:E51" si="0">$D43 + CEILING($D43 * 30%, 1)</f>
        <v>0</v>
      </c>
      <c r="F43" s="35"/>
    </row>
    <row r="44" spans="1:6" x14ac:dyDescent="0.3">
      <c r="A44" s="40">
        <v>3</v>
      </c>
      <c r="B44" s="91"/>
      <c r="C44" s="91"/>
      <c r="D44" s="41"/>
      <c r="E44" s="24">
        <f t="shared" si="0"/>
        <v>0</v>
      </c>
      <c r="F44" s="35"/>
    </row>
    <row r="45" spans="1:6" x14ac:dyDescent="0.3">
      <c r="A45" s="40">
        <v>4</v>
      </c>
      <c r="B45" s="91"/>
      <c r="C45" s="91"/>
      <c r="D45" s="41"/>
      <c r="E45" s="24">
        <f t="shared" si="0"/>
        <v>0</v>
      </c>
      <c r="F45" s="35"/>
    </row>
    <row r="46" spans="1:6" x14ac:dyDescent="0.3">
      <c r="A46" s="40">
        <v>5</v>
      </c>
      <c r="B46" s="91"/>
      <c r="C46" s="91"/>
      <c r="D46" s="41"/>
      <c r="E46" s="24">
        <f t="shared" si="0"/>
        <v>0</v>
      </c>
      <c r="F46" s="35"/>
    </row>
    <row r="47" spans="1:6" x14ac:dyDescent="0.3">
      <c r="A47" s="40">
        <v>6</v>
      </c>
      <c r="B47" s="93"/>
      <c r="C47" s="94"/>
      <c r="D47" s="41"/>
      <c r="E47" s="24">
        <f t="shared" si="0"/>
        <v>0</v>
      </c>
      <c r="F47" s="35"/>
    </row>
    <row r="48" spans="1:6" x14ac:dyDescent="0.3">
      <c r="A48" s="40">
        <v>7</v>
      </c>
      <c r="B48" s="93"/>
      <c r="C48" s="94"/>
      <c r="D48" s="41"/>
      <c r="E48" s="24">
        <f t="shared" si="0"/>
        <v>0</v>
      </c>
      <c r="F48" s="35"/>
    </row>
    <row r="49" spans="1:8" x14ac:dyDescent="0.3">
      <c r="A49" s="40">
        <v>8</v>
      </c>
      <c r="B49" s="91"/>
      <c r="C49" s="91"/>
      <c r="D49" s="41"/>
      <c r="E49" s="24">
        <f t="shared" si="0"/>
        <v>0</v>
      </c>
      <c r="F49" s="35"/>
    </row>
    <row r="50" spans="1:8" x14ac:dyDescent="0.3">
      <c r="A50" s="40">
        <v>9</v>
      </c>
      <c r="B50" s="91"/>
      <c r="C50" s="91"/>
      <c r="D50" s="41"/>
      <c r="E50" s="24">
        <f t="shared" si="0"/>
        <v>0</v>
      </c>
      <c r="F50" s="35"/>
    </row>
    <row r="51" spans="1:8" x14ac:dyDescent="0.3">
      <c r="A51" s="40">
        <v>10</v>
      </c>
      <c r="B51" s="93"/>
      <c r="C51" s="94"/>
      <c r="D51" s="41"/>
      <c r="E51" s="24">
        <f t="shared" si="0"/>
        <v>0</v>
      </c>
      <c r="F51" s="35"/>
    </row>
    <row r="52" spans="1:8" x14ac:dyDescent="0.3">
      <c r="A52" s="35"/>
      <c r="B52" s="92" t="s">
        <v>71</v>
      </c>
      <c r="C52" s="92"/>
      <c r="D52" s="23">
        <f>SUM(D42:D51)</f>
        <v>2</v>
      </c>
      <c r="E52" s="23">
        <f>SUM(E42:E51)</f>
        <v>3</v>
      </c>
      <c r="F52" s="35"/>
    </row>
    <row r="53" spans="1:8" ht="7.8" customHeight="1" x14ac:dyDescent="0.3">
      <c r="A53" s="35"/>
      <c r="B53" s="36"/>
      <c r="C53" s="36"/>
      <c r="D53" s="36"/>
      <c r="E53" s="35"/>
      <c r="F53" s="35"/>
    </row>
    <row r="54" spans="1:8" x14ac:dyDescent="0.3">
      <c r="A54" s="37"/>
      <c r="B54" s="38"/>
      <c r="C54" s="38"/>
      <c r="D54" s="38"/>
      <c r="E54" s="37"/>
      <c r="F54" s="37"/>
      <c r="G54" s="37"/>
    </row>
    <row r="55" spans="1:8" ht="14.4" customHeight="1" x14ac:dyDescent="0.3">
      <c r="A55" s="82" t="s">
        <v>39</v>
      </c>
      <c r="B55" s="83"/>
      <c r="C55" s="83"/>
      <c r="D55" s="83"/>
      <c r="E55" s="83"/>
      <c r="F55" s="84"/>
    </row>
    <row r="56" spans="1:8" x14ac:dyDescent="0.3">
      <c r="A56" s="85"/>
      <c r="B56" s="86"/>
      <c r="C56" s="86"/>
      <c r="D56" s="86"/>
      <c r="E56" s="86"/>
      <c r="F56" s="87"/>
    </row>
    <row r="57" spans="1:8" x14ac:dyDescent="0.3">
      <c r="A57" s="85"/>
      <c r="B57" s="86"/>
      <c r="C57" s="86"/>
      <c r="D57" s="86"/>
      <c r="E57" s="86"/>
      <c r="F57" s="87"/>
    </row>
    <row r="58" spans="1:8" x14ac:dyDescent="0.3">
      <c r="A58" s="88"/>
      <c r="B58" s="89"/>
      <c r="C58" s="89"/>
      <c r="D58" s="89"/>
      <c r="E58" s="89"/>
      <c r="F58" s="90"/>
    </row>
    <row r="59" spans="1:8" x14ac:dyDescent="0.3">
      <c r="A59" s="37"/>
      <c r="B59" s="38"/>
      <c r="C59" s="38"/>
      <c r="D59" s="38"/>
      <c r="E59" s="37"/>
      <c r="F59" s="37"/>
      <c r="G59" s="37"/>
    </row>
    <row r="60" spans="1:8" ht="18.600000000000001" customHeight="1" x14ac:dyDescent="0.3">
      <c r="A60" s="80" t="s">
        <v>19</v>
      </c>
      <c r="B60" s="80"/>
      <c r="C60" s="81" t="s">
        <v>56</v>
      </c>
      <c r="D60" s="81"/>
      <c r="E60" s="37"/>
      <c r="F60" s="37"/>
      <c r="G60" s="37"/>
      <c r="H60" s="38"/>
    </row>
  </sheetData>
  <sheetProtection algorithmName="SHA-512" hashValue="mH2ceBxu8qDRefQtumttnebvdp4eUksvwnB9XvgjGqlc97fwN3M/HNG7g8pd8M4iT1eK1Wb9VNB49OAaU1RTAw==" saltValue="T4lSRw8EHdte0LpWxyJtrQ==" spinCount="100000" sheet="1" objects="1" scenarios="1"/>
  <mergeCells count="37">
    <mergeCell ref="C10:E10"/>
    <mergeCell ref="B41:C41"/>
    <mergeCell ref="B42:C42"/>
    <mergeCell ref="B43:C43"/>
    <mergeCell ref="B44:C44"/>
    <mergeCell ref="A12:E12"/>
    <mergeCell ref="A18:E18"/>
    <mergeCell ref="A24:E24"/>
    <mergeCell ref="C13:E13"/>
    <mergeCell ref="C14:E14"/>
    <mergeCell ref="C15:E15"/>
    <mergeCell ref="C16:E16"/>
    <mergeCell ref="C19:E19"/>
    <mergeCell ref="C20:E20"/>
    <mergeCell ref="C21:E21"/>
    <mergeCell ref="C22:E22"/>
    <mergeCell ref="C7:E7"/>
    <mergeCell ref="C8:E8"/>
    <mergeCell ref="C9:E9"/>
    <mergeCell ref="A1:D2"/>
    <mergeCell ref="E1:E2"/>
    <mergeCell ref="C5:E5"/>
    <mergeCell ref="C6:E6"/>
    <mergeCell ref="A4:E4"/>
    <mergeCell ref="B25:E25"/>
    <mergeCell ref="B26:E37"/>
    <mergeCell ref="A60:B60"/>
    <mergeCell ref="C60:D60"/>
    <mergeCell ref="A55:F58"/>
    <mergeCell ref="B45:C45"/>
    <mergeCell ref="B46:C46"/>
    <mergeCell ref="B49:C49"/>
    <mergeCell ref="B50:C50"/>
    <mergeCell ref="B52:C52"/>
    <mergeCell ref="B51:C51"/>
    <mergeCell ref="B48:C48"/>
    <mergeCell ref="B47:C47"/>
  </mergeCells>
  <dataValidations count="1">
    <dataValidation type="list" allowBlank="1" showInputMessage="1" showErrorMessage="1" sqref="C5:E5" xr:uid="{261A0909-3824-4E4A-B442-D0BB399D1927}">
      <formula1>projects</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25" r:id="rId4" name="Button 1">
              <controlPr defaultSize="0" print="0" autoFill="0" autoPict="0" macro="[0]!add_sheet">
                <anchor moveWithCells="1" sizeWithCells="1">
                  <from>
                    <xdr:col>4</xdr:col>
                    <xdr:colOff>99060</xdr:colOff>
                    <xdr:row>58</xdr:row>
                    <xdr:rowOff>114300</xdr:rowOff>
                  </from>
                  <to>
                    <xdr:col>6</xdr:col>
                    <xdr:colOff>0</xdr:colOff>
                    <xdr:row>60</xdr:row>
                    <xdr:rowOff>68580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3">
        <x14:dataValidation type="list" allowBlank="1" showInputMessage="1" showErrorMessage="1" xr:uid="{259CDCEF-381C-4F2A-8892-783A0DB1BEF7}">
          <x14:formula1>
            <xm:f>choices!$E$2:$E$3</xm:f>
          </x14:formula1>
          <xm:sqref>C8:E8</xm:sqref>
        </x14:dataValidation>
        <x14:dataValidation type="list" allowBlank="1" showInputMessage="1" showErrorMessage="1" xr:uid="{D5A490F7-67B3-419E-8135-96E7A0CF6DCB}">
          <x14:formula1>
            <xm:f>choices!$G$2:$G$8</xm:f>
          </x14:formula1>
          <xm:sqref>C9:E9</xm:sqref>
        </x14:dataValidation>
        <x14:dataValidation type="list" allowBlank="1" showInputMessage="1" showErrorMessage="1" xr:uid="{A7881C34-EB49-42A7-A330-C035150CF5DB}">
          <x14:formula1>
            <xm:f>choices!$I$2:$I$15</xm:f>
          </x14:formula1>
          <xm:sqref>B42:B51 C49:C50 C42:C46</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045893F-C512-4DDD-8163-215F4080FAB8}">
  <sheetPr codeName="Sheet5"/>
  <dimension ref="A1:J91"/>
  <sheetViews>
    <sheetView showGridLines="0" tabSelected="1" topLeftCell="A46" workbookViewId="0">
      <selection activeCell="N57" sqref="N57"/>
    </sheetView>
  </sheetViews>
  <sheetFormatPr defaultRowHeight="14.4" x14ac:dyDescent="0.3"/>
  <cols>
    <col min="1" max="1" width="3.109375" style="29" customWidth="1"/>
    <col min="2" max="2" width="12.77734375" style="30" customWidth="1"/>
    <col min="3" max="3" width="20.77734375" style="29" customWidth="1"/>
    <col min="4" max="4" width="4.77734375" style="29" bestFit="1" customWidth="1"/>
    <col min="5" max="5" width="12.77734375" style="29" customWidth="1"/>
    <col min="6" max="6" width="20.77734375" style="29" customWidth="1"/>
    <col min="7" max="7" width="5.21875" style="29" bestFit="1" customWidth="1"/>
    <col min="8" max="8" width="12.77734375" style="29" customWidth="1"/>
    <col min="9" max="9" width="20.77734375" style="29" customWidth="1"/>
    <col min="10" max="10" width="2.6640625" style="29" customWidth="1"/>
    <col min="11" max="16384" width="8.88671875" style="29"/>
  </cols>
  <sheetData>
    <row r="1" spans="1:10" x14ac:dyDescent="0.3">
      <c r="A1" s="42"/>
      <c r="B1" s="43"/>
      <c r="C1" s="42"/>
      <c r="D1" s="42"/>
      <c r="E1" s="42"/>
      <c r="F1" s="42"/>
      <c r="G1" s="42"/>
      <c r="H1" s="42"/>
      <c r="I1" s="42"/>
      <c r="J1" s="44"/>
    </row>
    <row r="2" spans="1:10" ht="21" x14ac:dyDescent="0.4">
      <c r="A2" s="111" t="s">
        <v>52</v>
      </c>
      <c r="B2" s="111"/>
      <c r="C2" s="111"/>
      <c r="D2" s="111"/>
      <c r="E2" s="111"/>
      <c r="F2" s="111"/>
      <c r="G2" s="111"/>
      <c r="H2" s="111"/>
      <c r="I2" s="111"/>
      <c r="J2" s="44"/>
    </row>
    <row r="3" spans="1:10" ht="14.4" customHeight="1" x14ac:dyDescent="0.3">
      <c r="A3" s="42"/>
      <c r="B3" s="127" t="s">
        <v>53</v>
      </c>
      <c r="C3" s="127"/>
      <c r="D3" s="114" t="s">
        <v>56</v>
      </c>
      <c r="E3" s="115"/>
      <c r="F3" s="116"/>
      <c r="G3" s="42"/>
      <c r="H3" s="42"/>
      <c r="I3" s="42"/>
      <c r="J3" s="44"/>
    </row>
    <row r="4" spans="1:10" x14ac:dyDescent="0.3">
      <c r="A4" s="42"/>
      <c r="B4" s="43"/>
      <c r="C4" s="42"/>
      <c r="D4" s="42"/>
      <c r="E4" s="42"/>
      <c r="F4" s="42"/>
      <c r="G4" s="42"/>
      <c r="H4" s="42"/>
      <c r="I4" s="42"/>
      <c r="J4" s="44"/>
    </row>
    <row r="5" spans="1:10" ht="21" x14ac:dyDescent="0.4">
      <c r="A5" s="111" t="s">
        <v>73</v>
      </c>
      <c r="B5" s="111"/>
      <c r="C5" s="111"/>
      <c r="D5" s="111"/>
      <c r="E5" s="111"/>
      <c r="F5" s="111"/>
      <c r="G5" s="111"/>
      <c r="H5" s="111"/>
      <c r="I5" s="111"/>
      <c r="J5" s="44"/>
    </row>
    <row r="6" spans="1:10" ht="84.6" customHeight="1" x14ac:dyDescent="0.4">
      <c r="A6" s="45"/>
      <c r="B6" s="108" t="s">
        <v>129</v>
      </c>
      <c r="C6" s="109"/>
      <c r="D6" s="109"/>
      <c r="E6" s="109"/>
      <c r="F6" s="109"/>
      <c r="G6" s="109"/>
      <c r="H6" s="109"/>
      <c r="I6" s="110"/>
      <c r="J6" s="44"/>
    </row>
    <row r="7" spans="1:10" x14ac:dyDescent="0.3">
      <c r="A7" s="46"/>
      <c r="B7" s="47" t="s">
        <v>75</v>
      </c>
      <c r="C7" s="48" t="s">
        <v>76</v>
      </c>
      <c r="D7" s="49"/>
      <c r="E7" s="47" t="s">
        <v>75</v>
      </c>
      <c r="F7" s="48" t="s">
        <v>76</v>
      </c>
      <c r="G7" s="49"/>
      <c r="H7" s="47" t="s">
        <v>75</v>
      </c>
      <c r="I7" s="48" t="s">
        <v>76</v>
      </c>
      <c r="J7" s="44"/>
    </row>
    <row r="8" spans="1:10" ht="10.050000000000001" customHeight="1" x14ac:dyDescent="0.3">
      <c r="A8" s="46"/>
      <c r="B8" s="46"/>
      <c r="C8" s="42"/>
      <c r="D8" s="50"/>
      <c r="E8" s="46"/>
      <c r="F8" s="42"/>
      <c r="G8" s="50"/>
      <c r="H8" s="46"/>
      <c r="I8" s="42"/>
      <c r="J8" s="44"/>
    </row>
    <row r="9" spans="1:10" x14ac:dyDescent="0.3">
      <c r="A9" s="46"/>
      <c r="B9" s="51" t="s">
        <v>82</v>
      </c>
      <c r="C9" s="52" t="s">
        <v>125</v>
      </c>
      <c r="D9" s="53" t="s">
        <v>78</v>
      </c>
      <c r="E9" s="51"/>
      <c r="F9" s="52"/>
      <c r="G9" s="53" t="s">
        <v>78</v>
      </c>
      <c r="H9" s="51"/>
      <c r="I9" s="52"/>
      <c r="J9" s="44"/>
    </row>
    <row r="10" spans="1:10" ht="10.050000000000001" customHeight="1" x14ac:dyDescent="0.3">
      <c r="A10" s="46"/>
      <c r="B10" s="54"/>
      <c r="C10" s="70">
        <f>VLOOKUP(C9, choices!$M$2:$N$6, 2, 0)</f>
        <v>4</v>
      </c>
      <c r="D10" s="56"/>
      <c r="E10" s="54"/>
      <c r="F10" s="70" t="e">
        <f>VLOOKUP(F9, choices!$M$2:$N$6, 2, 0)</f>
        <v>#N/A</v>
      </c>
      <c r="G10" s="56"/>
      <c r="H10" s="54"/>
      <c r="I10" s="70" t="e">
        <f>VLOOKUP(I9, choices!$M$2:$N$6, 2, 0)</f>
        <v>#N/A</v>
      </c>
      <c r="J10" s="44"/>
    </row>
    <row r="11" spans="1:10" x14ac:dyDescent="0.3">
      <c r="A11" s="46"/>
      <c r="B11" s="54"/>
      <c r="C11" s="55"/>
      <c r="D11" s="56"/>
      <c r="E11" s="126" t="s">
        <v>77</v>
      </c>
      <c r="F11" s="126"/>
      <c r="G11" s="56"/>
      <c r="H11" s="54"/>
      <c r="I11" s="55"/>
      <c r="J11" s="44"/>
    </row>
    <row r="12" spans="1:10" ht="10.050000000000001" customHeight="1" x14ac:dyDescent="0.3">
      <c r="A12" s="46"/>
      <c r="B12" s="54"/>
      <c r="C12" s="55"/>
      <c r="D12" s="56"/>
      <c r="E12" s="54"/>
      <c r="F12" s="55"/>
      <c r="G12" s="56"/>
      <c r="H12" s="54"/>
      <c r="I12" s="55"/>
      <c r="J12" s="44"/>
    </row>
    <row r="13" spans="1:10" x14ac:dyDescent="0.3">
      <c r="A13" s="46"/>
      <c r="B13" s="51"/>
      <c r="C13" s="52"/>
      <c r="D13" s="53" t="s">
        <v>78</v>
      </c>
      <c r="E13" s="51"/>
      <c r="F13" s="52"/>
      <c r="G13" s="53" t="s">
        <v>78</v>
      </c>
      <c r="H13" s="51"/>
      <c r="I13" s="52"/>
      <c r="J13" s="44"/>
    </row>
    <row r="14" spans="1:10" ht="10.050000000000001" customHeight="1" x14ac:dyDescent="0.3">
      <c r="A14" s="46"/>
      <c r="B14" s="54"/>
      <c r="C14" s="70" t="e">
        <f>VLOOKUP(C13, choices!$M$2:$N$6, 2, 0)</f>
        <v>#N/A</v>
      </c>
      <c r="D14" s="56"/>
      <c r="E14" s="54"/>
      <c r="F14" s="70" t="e">
        <f>VLOOKUP(F13, choices!$M$2:$N$6, 2, 0)</f>
        <v>#N/A</v>
      </c>
      <c r="G14" s="56"/>
      <c r="H14" s="54"/>
      <c r="I14" s="70" t="e">
        <f>VLOOKUP(I13, choices!$M$2:$N$6, 2, 0)</f>
        <v>#N/A</v>
      </c>
      <c r="J14" s="44"/>
    </row>
    <row r="15" spans="1:10" x14ac:dyDescent="0.3">
      <c r="A15" s="46"/>
      <c r="B15" s="54"/>
      <c r="C15" s="55"/>
      <c r="D15" s="56"/>
      <c r="E15" s="126" t="s">
        <v>77</v>
      </c>
      <c r="F15" s="126"/>
      <c r="G15" s="56"/>
      <c r="H15" s="54"/>
      <c r="I15" s="55"/>
      <c r="J15" s="44"/>
    </row>
    <row r="16" spans="1:10" ht="10.050000000000001" customHeight="1" x14ac:dyDescent="0.3">
      <c r="A16" s="46"/>
      <c r="B16" s="54"/>
      <c r="C16" s="55"/>
      <c r="D16" s="56"/>
      <c r="E16" s="54"/>
      <c r="F16" s="55"/>
      <c r="G16" s="56"/>
      <c r="H16" s="54"/>
      <c r="I16" s="55"/>
      <c r="J16" s="44"/>
    </row>
    <row r="17" spans="1:10" x14ac:dyDescent="0.3">
      <c r="A17" s="46"/>
      <c r="B17" s="51"/>
      <c r="C17" s="52"/>
      <c r="D17" s="53" t="s">
        <v>78</v>
      </c>
      <c r="E17" s="51"/>
      <c r="F17" s="52"/>
      <c r="G17" s="53" t="s">
        <v>78</v>
      </c>
      <c r="H17" s="51"/>
      <c r="I17" s="52"/>
      <c r="J17" s="44"/>
    </row>
    <row r="18" spans="1:10" ht="10.050000000000001" customHeight="1" x14ac:dyDescent="0.3">
      <c r="A18" s="46"/>
      <c r="B18" s="54"/>
      <c r="C18" s="70" t="e">
        <f>VLOOKUP(C17, choices!$M$2:$N$6, 2, 0)</f>
        <v>#N/A</v>
      </c>
      <c r="D18" s="56"/>
      <c r="E18" s="54"/>
      <c r="F18" s="70" t="e">
        <f>VLOOKUP(F17, choices!$M$2:$N$6, 2, 0)</f>
        <v>#N/A</v>
      </c>
      <c r="G18" s="56"/>
      <c r="H18" s="54"/>
      <c r="I18" s="70" t="e">
        <f>VLOOKUP(I17, choices!$M$2:$N$6, 2, 0)</f>
        <v>#N/A</v>
      </c>
      <c r="J18" s="44"/>
    </row>
    <row r="19" spans="1:10" x14ac:dyDescent="0.3">
      <c r="A19" s="46"/>
      <c r="B19" s="54"/>
      <c r="C19" s="55"/>
      <c r="D19" s="56"/>
      <c r="E19" s="126" t="s">
        <v>77</v>
      </c>
      <c r="F19" s="126"/>
      <c r="G19" s="56"/>
      <c r="H19" s="54"/>
      <c r="I19" s="55"/>
      <c r="J19" s="44"/>
    </row>
    <row r="20" spans="1:10" ht="10.050000000000001" customHeight="1" x14ac:dyDescent="0.3">
      <c r="A20" s="46"/>
      <c r="B20" s="54"/>
      <c r="C20" s="55"/>
      <c r="D20" s="56"/>
      <c r="E20" s="54"/>
      <c r="F20" s="55"/>
      <c r="G20" s="56"/>
      <c r="H20" s="54"/>
      <c r="I20" s="55"/>
      <c r="J20" s="44"/>
    </row>
    <row r="21" spans="1:10" x14ac:dyDescent="0.3">
      <c r="A21" s="46"/>
      <c r="B21" s="51"/>
      <c r="C21" s="52"/>
      <c r="D21" s="53" t="s">
        <v>78</v>
      </c>
      <c r="E21" s="51"/>
      <c r="F21" s="52"/>
      <c r="G21" s="53" t="s">
        <v>78</v>
      </c>
      <c r="H21" s="51"/>
      <c r="I21" s="52"/>
      <c r="J21" s="44"/>
    </row>
    <row r="22" spans="1:10" ht="10.050000000000001" customHeight="1" x14ac:dyDescent="0.3">
      <c r="A22" s="46"/>
      <c r="B22" s="54"/>
      <c r="C22" s="70" t="e">
        <f>VLOOKUP(C21, choices!$M$2:$N$6, 2, 0)</f>
        <v>#N/A</v>
      </c>
      <c r="D22" s="56"/>
      <c r="E22" s="54"/>
      <c r="F22" s="70" t="e">
        <f>VLOOKUP(F21, choices!$M$2:$N$6, 2, 0)</f>
        <v>#N/A</v>
      </c>
      <c r="G22" s="56"/>
      <c r="H22" s="54"/>
      <c r="I22" s="70" t="e">
        <f>VLOOKUP(I21, choices!$M$2:$N$6, 2, 0)</f>
        <v>#N/A</v>
      </c>
      <c r="J22" s="44"/>
    </row>
    <row r="23" spans="1:10" x14ac:dyDescent="0.3">
      <c r="A23" s="46"/>
      <c r="B23" s="54"/>
      <c r="C23" s="55"/>
      <c r="D23" s="56"/>
      <c r="E23" s="126" t="s">
        <v>77</v>
      </c>
      <c r="F23" s="126"/>
      <c r="G23" s="56"/>
      <c r="H23" s="54"/>
      <c r="I23" s="55"/>
      <c r="J23" s="44"/>
    </row>
    <row r="24" spans="1:10" ht="10.050000000000001" customHeight="1" x14ac:dyDescent="0.3">
      <c r="A24" s="46"/>
      <c r="B24" s="54"/>
      <c r="C24" s="55"/>
      <c r="D24" s="56"/>
      <c r="E24" s="54"/>
      <c r="F24" s="55"/>
      <c r="G24" s="56"/>
      <c r="H24" s="54"/>
      <c r="I24" s="55"/>
      <c r="J24" s="44"/>
    </row>
    <row r="25" spans="1:10" x14ac:dyDescent="0.3">
      <c r="A25" s="46"/>
      <c r="B25" s="51"/>
      <c r="C25" s="52"/>
      <c r="D25" s="53" t="s">
        <v>78</v>
      </c>
      <c r="E25" s="51"/>
      <c r="F25" s="52"/>
      <c r="G25" s="53" t="s">
        <v>78</v>
      </c>
      <c r="H25" s="51"/>
      <c r="I25" s="52"/>
      <c r="J25" s="44"/>
    </row>
    <row r="26" spans="1:10" x14ac:dyDescent="0.3">
      <c r="A26" s="46"/>
      <c r="B26" s="54"/>
      <c r="C26" s="70" t="e">
        <f>VLOOKUP(C25, choices!$M$2:$N$6, 2, 0)</f>
        <v>#N/A</v>
      </c>
      <c r="D26" s="57"/>
      <c r="E26" s="54"/>
      <c r="F26" s="70" t="e">
        <f>VLOOKUP(F25, choices!$M$2:$N$6, 2, 0)</f>
        <v>#N/A</v>
      </c>
      <c r="G26" s="57"/>
      <c r="H26" s="54"/>
      <c r="I26" s="70" t="e">
        <f>VLOOKUP(I25, choices!$M$2:$N$6, 2, 0)</f>
        <v>#N/A</v>
      </c>
      <c r="J26" s="44"/>
    </row>
    <row r="27" spans="1:10" ht="21" x14ac:dyDescent="0.4">
      <c r="A27" s="111" t="s">
        <v>74</v>
      </c>
      <c r="B27" s="111"/>
      <c r="C27" s="111"/>
      <c r="D27" s="111"/>
      <c r="E27" s="111"/>
      <c r="F27" s="111"/>
      <c r="G27" s="111"/>
      <c r="H27" s="111"/>
      <c r="I27" s="111"/>
      <c r="J27" s="44"/>
    </row>
    <row r="28" spans="1:10" ht="78" customHeight="1" x14ac:dyDescent="0.3">
      <c r="A28" s="42"/>
      <c r="B28" s="108" t="s">
        <v>130</v>
      </c>
      <c r="C28" s="109"/>
      <c r="D28" s="109"/>
      <c r="E28" s="109"/>
      <c r="F28" s="109"/>
      <c r="G28" s="109"/>
      <c r="H28" s="109"/>
      <c r="I28" s="110"/>
      <c r="J28" s="44"/>
    </row>
    <row r="29" spans="1:10" ht="10.050000000000001" customHeight="1" x14ac:dyDescent="0.3">
      <c r="A29" s="42"/>
      <c r="B29" s="43"/>
      <c r="C29" s="42"/>
      <c r="D29" s="42"/>
      <c r="E29" s="42"/>
      <c r="F29" s="42"/>
      <c r="G29" s="42"/>
      <c r="H29" s="42"/>
      <c r="I29" s="42"/>
      <c r="J29" s="44"/>
    </row>
    <row r="30" spans="1:10" x14ac:dyDescent="0.3">
      <c r="A30" s="42"/>
      <c r="B30" s="58" t="s">
        <v>131</v>
      </c>
      <c r="C30" s="114" t="s">
        <v>148</v>
      </c>
      <c r="D30" s="115"/>
      <c r="E30" s="115"/>
      <c r="F30" s="116"/>
      <c r="G30" s="48" t="s">
        <v>77</v>
      </c>
      <c r="H30" s="42"/>
      <c r="I30" s="42"/>
      <c r="J30" s="44"/>
    </row>
    <row r="31" spans="1:10" ht="10.050000000000001" customHeight="1" x14ac:dyDescent="0.3">
      <c r="A31" s="42"/>
      <c r="B31" s="58"/>
      <c r="C31" s="59"/>
      <c r="D31" s="46"/>
      <c r="E31" s="46"/>
      <c r="F31" s="46"/>
      <c r="G31" s="42"/>
      <c r="H31" s="42"/>
      <c r="I31" s="42"/>
      <c r="J31" s="44"/>
    </row>
    <row r="32" spans="1:10" x14ac:dyDescent="0.3">
      <c r="A32" s="42"/>
      <c r="B32" s="58" t="s">
        <v>132</v>
      </c>
      <c r="C32" s="114"/>
      <c r="D32" s="115"/>
      <c r="E32" s="115"/>
      <c r="F32" s="116"/>
      <c r="G32" s="48" t="s">
        <v>77</v>
      </c>
      <c r="H32" s="42"/>
      <c r="I32" s="42"/>
      <c r="J32" s="44"/>
    </row>
    <row r="33" spans="1:10" ht="10.050000000000001" customHeight="1" x14ac:dyDescent="0.3">
      <c r="A33" s="42"/>
      <c r="B33" s="58"/>
      <c r="C33" s="59"/>
      <c r="D33" s="46"/>
      <c r="E33" s="46"/>
      <c r="F33" s="46"/>
      <c r="G33" s="42"/>
      <c r="H33" s="42"/>
      <c r="I33" s="42"/>
      <c r="J33" s="44"/>
    </row>
    <row r="34" spans="1:10" x14ac:dyDescent="0.3">
      <c r="A34" s="42"/>
      <c r="B34" s="58" t="s">
        <v>133</v>
      </c>
      <c r="C34" s="114"/>
      <c r="D34" s="115"/>
      <c r="E34" s="115"/>
      <c r="F34" s="116"/>
      <c r="G34" s="48" t="s">
        <v>77</v>
      </c>
      <c r="H34" s="42"/>
      <c r="I34" s="42"/>
      <c r="J34" s="44"/>
    </row>
    <row r="35" spans="1:10" ht="10.050000000000001" customHeight="1" x14ac:dyDescent="0.3">
      <c r="A35" s="42"/>
      <c r="B35" s="58"/>
      <c r="C35" s="59"/>
      <c r="D35" s="46"/>
      <c r="E35" s="46"/>
      <c r="F35" s="46"/>
      <c r="G35" s="42"/>
      <c r="H35" s="42"/>
      <c r="I35" s="42"/>
      <c r="J35" s="44"/>
    </row>
    <row r="36" spans="1:10" x14ac:dyDescent="0.3">
      <c r="A36" s="42"/>
      <c r="B36" s="58" t="s">
        <v>134</v>
      </c>
      <c r="C36" s="114"/>
      <c r="D36" s="115"/>
      <c r="E36" s="115"/>
      <c r="F36" s="116"/>
      <c r="G36" s="48" t="s">
        <v>77</v>
      </c>
      <c r="H36" s="42"/>
      <c r="I36" s="42"/>
      <c r="J36" s="44"/>
    </row>
    <row r="37" spans="1:10" ht="10.050000000000001" customHeight="1" x14ac:dyDescent="0.3">
      <c r="A37" s="42"/>
      <c r="B37" s="58"/>
      <c r="C37" s="59"/>
      <c r="D37" s="46"/>
      <c r="E37" s="46"/>
      <c r="F37" s="46"/>
      <c r="G37" s="42"/>
      <c r="H37" s="42"/>
      <c r="I37" s="42"/>
      <c r="J37" s="44"/>
    </row>
    <row r="38" spans="1:10" x14ac:dyDescent="0.3">
      <c r="A38" s="42"/>
      <c r="B38" s="58" t="s">
        <v>135</v>
      </c>
      <c r="C38" s="114"/>
      <c r="D38" s="115"/>
      <c r="E38" s="115"/>
      <c r="F38" s="116"/>
      <c r="G38" s="48" t="s">
        <v>77</v>
      </c>
      <c r="H38" s="42"/>
      <c r="I38" s="42"/>
      <c r="J38" s="44"/>
    </row>
    <row r="39" spans="1:10" ht="10.050000000000001" customHeight="1" x14ac:dyDescent="0.3">
      <c r="A39" s="42"/>
      <c r="B39" s="58"/>
      <c r="C39" s="59"/>
      <c r="D39" s="46"/>
      <c r="E39" s="46"/>
      <c r="F39" s="46"/>
      <c r="G39" s="42"/>
      <c r="H39" s="42"/>
      <c r="I39" s="42"/>
      <c r="J39" s="44"/>
    </row>
    <row r="40" spans="1:10" x14ac:dyDescent="0.3">
      <c r="A40" s="42"/>
      <c r="B40" s="58" t="s">
        <v>136</v>
      </c>
      <c r="C40" s="114"/>
      <c r="D40" s="115"/>
      <c r="E40" s="115"/>
      <c r="F40" s="116"/>
      <c r="G40" s="48" t="s">
        <v>77</v>
      </c>
      <c r="H40" s="42"/>
      <c r="I40" s="42"/>
      <c r="J40" s="44"/>
    </row>
    <row r="41" spans="1:10" ht="10.050000000000001" customHeight="1" x14ac:dyDescent="0.3">
      <c r="A41" s="42"/>
      <c r="B41" s="58"/>
      <c r="C41" s="59"/>
      <c r="D41" s="46"/>
      <c r="E41" s="46"/>
      <c r="F41" s="46"/>
      <c r="G41" s="42"/>
      <c r="H41" s="42"/>
      <c r="I41" s="42"/>
      <c r="J41" s="44"/>
    </row>
    <row r="42" spans="1:10" x14ac:dyDescent="0.3">
      <c r="A42" s="42"/>
      <c r="B42" s="58" t="s">
        <v>137</v>
      </c>
      <c r="C42" s="114"/>
      <c r="D42" s="115"/>
      <c r="E42" s="115"/>
      <c r="F42" s="116"/>
      <c r="G42" s="48" t="s">
        <v>77</v>
      </c>
      <c r="H42" s="42"/>
      <c r="I42" s="42"/>
      <c r="J42" s="44"/>
    </row>
    <row r="43" spans="1:10" ht="10.050000000000001" customHeight="1" x14ac:dyDescent="0.3">
      <c r="A43" s="42"/>
      <c r="B43" s="58"/>
      <c r="C43" s="59"/>
      <c r="D43" s="46"/>
      <c r="E43" s="46"/>
      <c r="F43" s="46"/>
      <c r="G43" s="42"/>
      <c r="H43" s="42"/>
      <c r="I43" s="42"/>
      <c r="J43" s="44"/>
    </row>
    <row r="44" spans="1:10" x14ac:dyDescent="0.3">
      <c r="A44" s="42"/>
      <c r="B44" s="58" t="s">
        <v>138</v>
      </c>
      <c r="C44" s="114"/>
      <c r="D44" s="115"/>
      <c r="E44" s="115"/>
      <c r="F44" s="116"/>
      <c r="G44" s="48" t="s">
        <v>77</v>
      </c>
      <c r="H44" s="42"/>
      <c r="I44" s="42"/>
      <c r="J44" s="44"/>
    </row>
    <row r="45" spans="1:10" ht="10.050000000000001" customHeight="1" x14ac:dyDescent="0.3">
      <c r="A45" s="42"/>
      <c r="B45" s="58"/>
      <c r="C45" s="59"/>
      <c r="D45" s="46"/>
      <c r="E45" s="46"/>
      <c r="F45" s="46"/>
      <c r="G45" s="42"/>
      <c r="H45" s="42"/>
      <c r="I45" s="42"/>
      <c r="J45" s="44"/>
    </row>
    <row r="46" spans="1:10" x14ac:dyDescent="0.3">
      <c r="A46" s="42"/>
      <c r="B46" s="58" t="s">
        <v>139</v>
      </c>
      <c r="C46" s="114"/>
      <c r="D46" s="115"/>
      <c r="E46" s="115"/>
      <c r="F46" s="116"/>
      <c r="G46" s="48"/>
      <c r="H46" s="42"/>
      <c r="I46" s="42"/>
      <c r="J46" s="44"/>
    </row>
    <row r="47" spans="1:10" ht="10.050000000000001" customHeight="1" x14ac:dyDescent="0.3">
      <c r="A47" s="42"/>
      <c r="B47" s="59"/>
      <c r="C47" s="59"/>
      <c r="D47" s="42"/>
      <c r="E47" s="42"/>
      <c r="F47" s="42"/>
      <c r="G47" s="42"/>
      <c r="H47" s="42"/>
      <c r="I47" s="42"/>
      <c r="J47" s="44"/>
    </row>
    <row r="48" spans="1:10" ht="21" x14ac:dyDescent="0.4">
      <c r="A48" s="111" t="s">
        <v>72</v>
      </c>
      <c r="B48" s="111"/>
      <c r="C48" s="111"/>
      <c r="D48" s="111"/>
      <c r="E48" s="111"/>
      <c r="F48" s="111"/>
      <c r="G48" s="111"/>
      <c r="H48" s="111"/>
      <c r="I48" s="111"/>
      <c r="J48" s="44"/>
    </row>
    <row r="49" spans="1:10" ht="50.4" customHeight="1" x14ac:dyDescent="0.3">
      <c r="A49" s="42"/>
      <c r="B49" s="108" t="s">
        <v>151</v>
      </c>
      <c r="C49" s="109"/>
      <c r="D49" s="109"/>
      <c r="E49" s="109"/>
      <c r="F49" s="109"/>
      <c r="G49" s="109"/>
      <c r="H49" s="109"/>
      <c r="I49" s="110"/>
      <c r="J49" s="44"/>
    </row>
    <row r="50" spans="1:10" ht="10.050000000000001" customHeight="1" x14ac:dyDescent="0.3">
      <c r="A50" s="42"/>
      <c r="B50" s="43"/>
      <c r="C50" s="42"/>
      <c r="D50" s="42"/>
      <c r="E50" s="42"/>
      <c r="F50" s="42"/>
      <c r="G50" s="42"/>
      <c r="H50" s="42"/>
      <c r="I50" s="42"/>
      <c r="J50" s="44"/>
    </row>
    <row r="51" spans="1:10" ht="14.4" customHeight="1" x14ac:dyDescent="0.3">
      <c r="A51" s="42"/>
      <c r="B51" s="112" t="s">
        <v>223</v>
      </c>
      <c r="C51" s="112"/>
      <c r="D51" s="42"/>
      <c r="E51" s="117" t="s">
        <v>69</v>
      </c>
      <c r="F51" s="118"/>
      <c r="G51" s="118"/>
      <c r="H51" s="118"/>
      <c r="I51" s="119"/>
      <c r="J51" s="44"/>
    </row>
    <row r="52" spans="1:10" x14ac:dyDescent="0.3">
      <c r="A52" s="42"/>
      <c r="B52" s="112"/>
      <c r="C52" s="112"/>
      <c r="D52" s="42"/>
      <c r="E52" s="120"/>
      <c r="F52" s="121"/>
      <c r="G52" s="121"/>
      <c r="H52" s="121"/>
      <c r="I52" s="122"/>
      <c r="J52" s="44"/>
    </row>
    <row r="53" spans="1:10" x14ac:dyDescent="0.3">
      <c r="A53" s="42"/>
      <c r="B53" s="112"/>
      <c r="C53" s="112"/>
      <c r="D53" s="42"/>
      <c r="E53" s="123"/>
      <c r="F53" s="124"/>
      <c r="G53" s="124"/>
      <c r="H53" s="124"/>
      <c r="I53" s="125"/>
      <c r="J53" s="44"/>
    </row>
    <row r="54" spans="1:10" ht="10.050000000000001" customHeight="1" x14ac:dyDescent="0.3">
      <c r="A54" s="42"/>
      <c r="B54" s="43"/>
      <c r="C54" s="42"/>
      <c r="D54" s="42"/>
      <c r="E54" s="42"/>
      <c r="F54" s="42"/>
      <c r="G54" s="42"/>
      <c r="H54" s="42"/>
      <c r="I54" s="42"/>
      <c r="J54" s="44"/>
    </row>
    <row r="55" spans="1:10" ht="14.4" customHeight="1" x14ac:dyDescent="0.3">
      <c r="A55" s="42"/>
      <c r="B55" s="112" t="s">
        <v>216</v>
      </c>
      <c r="C55" s="112"/>
      <c r="D55" s="42"/>
      <c r="E55" s="60">
        <v>0.5</v>
      </c>
      <c r="F55" s="42"/>
      <c r="G55" s="42"/>
      <c r="H55" s="42"/>
      <c r="I55" s="42"/>
      <c r="J55" s="44"/>
    </row>
    <row r="56" spans="1:10" ht="14.4" customHeight="1" x14ac:dyDescent="0.3">
      <c r="A56" s="42"/>
      <c r="B56" s="112"/>
      <c r="C56" s="112"/>
      <c r="D56" s="42"/>
      <c r="E56" s="42"/>
      <c r="F56" s="42"/>
      <c r="G56" s="42"/>
      <c r="H56" s="42"/>
      <c r="I56" s="42"/>
      <c r="J56" s="44"/>
    </row>
    <row r="57" spans="1:10" ht="10.050000000000001" customHeight="1" x14ac:dyDescent="0.3">
      <c r="A57" s="42"/>
      <c r="B57" s="59"/>
      <c r="C57" s="59"/>
      <c r="D57" s="42"/>
      <c r="E57" s="42"/>
      <c r="F57" s="42"/>
      <c r="G57" s="42"/>
      <c r="H57" s="42"/>
      <c r="I57" s="42"/>
      <c r="J57" s="44"/>
    </row>
    <row r="58" spans="1:10" ht="14.4" customHeight="1" x14ac:dyDescent="0.3">
      <c r="A58" s="42"/>
      <c r="B58" s="112" t="s">
        <v>224</v>
      </c>
      <c r="C58" s="112"/>
      <c r="D58" s="42"/>
      <c r="E58" s="61"/>
      <c r="F58" s="42"/>
      <c r="G58" s="42"/>
      <c r="H58" s="42"/>
      <c r="I58" s="42"/>
      <c r="J58" s="44"/>
    </row>
    <row r="59" spans="1:10" ht="14.4" customHeight="1" x14ac:dyDescent="0.3">
      <c r="A59" s="42"/>
      <c r="B59" s="112"/>
      <c r="C59" s="112"/>
      <c r="D59" s="42"/>
      <c r="E59" s="62"/>
      <c r="F59" s="42"/>
      <c r="G59" s="42"/>
      <c r="H59" s="42"/>
      <c r="I59" s="42"/>
      <c r="J59" s="44"/>
    </row>
    <row r="60" spans="1:10" ht="14.4" customHeight="1" x14ac:dyDescent="0.3">
      <c r="A60" s="42"/>
      <c r="B60" s="112"/>
      <c r="C60" s="112"/>
      <c r="D60" s="42"/>
      <c r="E60" s="62"/>
      <c r="F60" s="42"/>
      <c r="G60" s="42"/>
      <c r="H60" s="42"/>
      <c r="I60" s="42"/>
      <c r="J60" s="44"/>
    </row>
    <row r="61" spans="1:10" ht="14.4" customHeight="1" x14ac:dyDescent="0.3">
      <c r="A61" s="42"/>
      <c r="B61" s="112"/>
      <c r="C61" s="112"/>
      <c r="D61" s="42"/>
      <c r="E61" s="42"/>
      <c r="F61" s="42"/>
      <c r="G61" s="42"/>
      <c r="H61" s="42"/>
      <c r="I61" s="42"/>
      <c r="J61" s="44"/>
    </row>
    <row r="62" spans="1:10" ht="10.050000000000001" customHeight="1" x14ac:dyDescent="0.3">
      <c r="A62" s="42"/>
      <c r="B62" s="43"/>
      <c r="C62" s="42"/>
      <c r="D62" s="42"/>
      <c r="E62" s="42"/>
      <c r="F62" s="42"/>
      <c r="G62" s="42"/>
      <c r="H62" s="42"/>
      <c r="I62" s="42"/>
      <c r="J62" s="44"/>
    </row>
    <row r="63" spans="1:10" x14ac:dyDescent="0.3">
      <c r="A63" s="42"/>
      <c r="B63" s="106" t="s">
        <v>152</v>
      </c>
      <c r="C63" s="106"/>
      <c r="D63" s="106"/>
      <c r="E63" s="106"/>
      <c r="F63" s="106"/>
      <c r="G63" s="48"/>
      <c r="H63" s="113" t="s">
        <v>153</v>
      </c>
      <c r="I63" s="113"/>
      <c r="J63" s="44"/>
    </row>
    <row r="64" spans="1:10" s="22" customFormat="1" x14ac:dyDescent="0.3">
      <c r="A64" s="63">
        <v>1</v>
      </c>
      <c r="B64" s="101" t="s">
        <v>168</v>
      </c>
      <c r="C64" s="102"/>
      <c r="D64" s="102"/>
      <c r="E64" s="102"/>
      <c r="F64" s="103"/>
      <c r="G64" s="64"/>
      <c r="H64" s="104" t="s">
        <v>207</v>
      </c>
      <c r="I64" s="105"/>
      <c r="J64" s="65"/>
    </row>
    <row r="65" spans="1:10" s="22" customFormat="1" ht="10.050000000000001" customHeight="1" x14ac:dyDescent="0.3">
      <c r="A65" s="63"/>
      <c r="B65" s="66"/>
      <c r="C65" s="67"/>
      <c r="D65" s="67"/>
      <c r="E65" s="67"/>
      <c r="F65" s="67"/>
      <c r="G65" s="64"/>
      <c r="H65" s="67"/>
      <c r="I65" s="67"/>
      <c r="J65" s="65"/>
    </row>
    <row r="66" spans="1:10" s="22" customFormat="1" ht="14.4" customHeight="1" x14ac:dyDescent="0.3">
      <c r="A66" s="63">
        <v>2</v>
      </c>
      <c r="B66" s="101"/>
      <c r="C66" s="102"/>
      <c r="D66" s="102"/>
      <c r="E66" s="102"/>
      <c r="F66" s="103"/>
      <c r="G66" s="64" t="e">
        <f>VLOOKUP($B66, metrics, 2, 0)</f>
        <v>#N/A</v>
      </c>
      <c r="H66" s="104"/>
      <c r="I66" s="105"/>
      <c r="J66" s="65"/>
    </row>
    <row r="67" spans="1:10" s="22" customFormat="1" ht="10.050000000000001" customHeight="1" x14ac:dyDescent="0.3">
      <c r="A67" s="63"/>
      <c r="B67" s="66"/>
      <c r="C67" s="67"/>
      <c r="D67" s="67"/>
      <c r="E67" s="67"/>
      <c r="F67" s="67"/>
      <c r="G67" s="64"/>
      <c r="H67" s="67"/>
      <c r="I67" s="67"/>
      <c r="J67" s="65"/>
    </row>
    <row r="68" spans="1:10" s="22" customFormat="1" ht="14.4" customHeight="1" x14ac:dyDescent="0.3">
      <c r="A68" s="63">
        <v>3</v>
      </c>
      <c r="B68" s="101"/>
      <c r="C68" s="102"/>
      <c r="D68" s="102"/>
      <c r="E68" s="102"/>
      <c r="F68" s="103"/>
      <c r="G68" s="64" t="e">
        <f>VLOOKUP($B68, metrics, 2, 0)</f>
        <v>#N/A</v>
      </c>
      <c r="H68" s="104"/>
      <c r="I68" s="105"/>
      <c r="J68" s="65"/>
    </row>
    <row r="69" spans="1:10" s="22" customFormat="1" ht="10.050000000000001" customHeight="1" x14ac:dyDescent="0.3">
      <c r="A69" s="63"/>
      <c r="B69" s="66"/>
      <c r="C69" s="67"/>
      <c r="D69" s="67"/>
      <c r="E69" s="67"/>
      <c r="F69" s="67"/>
      <c r="G69" s="64"/>
      <c r="H69" s="67"/>
      <c r="I69" s="67"/>
      <c r="J69" s="65"/>
    </row>
    <row r="70" spans="1:10" s="22" customFormat="1" ht="14.4" customHeight="1" x14ac:dyDescent="0.3">
      <c r="A70" s="63">
        <v>4</v>
      </c>
      <c r="B70" s="101"/>
      <c r="C70" s="102"/>
      <c r="D70" s="102"/>
      <c r="E70" s="102"/>
      <c r="F70" s="103"/>
      <c r="G70" s="64" t="e">
        <f>VLOOKUP($B70, metrics, 2, 0)</f>
        <v>#N/A</v>
      </c>
      <c r="H70" s="104"/>
      <c r="I70" s="105"/>
      <c r="J70" s="65"/>
    </row>
    <row r="71" spans="1:10" s="22" customFormat="1" ht="10.050000000000001" customHeight="1" x14ac:dyDescent="0.3">
      <c r="A71" s="63"/>
      <c r="B71" s="66"/>
      <c r="C71" s="67"/>
      <c r="D71" s="67"/>
      <c r="E71" s="67"/>
      <c r="F71" s="67"/>
      <c r="G71" s="64"/>
      <c r="H71" s="67"/>
      <c r="I71" s="67"/>
      <c r="J71" s="65"/>
    </row>
    <row r="72" spans="1:10" s="22" customFormat="1" ht="14.4" customHeight="1" x14ac:dyDescent="0.3">
      <c r="A72" s="63">
        <v>5</v>
      </c>
      <c r="B72" s="101"/>
      <c r="C72" s="102"/>
      <c r="D72" s="102"/>
      <c r="E72" s="102"/>
      <c r="F72" s="103"/>
      <c r="G72" s="64" t="e">
        <f>VLOOKUP($B72, metrics, 2, 0)</f>
        <v>#N/A</v>
      </c>
      <c r="H72" s="104"/>
      <c r="I72" s="105"/>
      <c r="J72" s="65"/>
    </row>
    <row r="73" spans="1:10" s="22" customFormat="1" ht="10.050000000000001" customHeight="1" x14ac:dyDescent="0.3">
      <c r="A73" s="63"/>
      <c r="B73" s="66"/>
      <c r="C73" s="67"/>
      <c r="D73" s="67"/>
      <c r="E73" s="67"/>
      <c r="F73" s="67"/>
      <c r="G73" s="64"/>
      <c r="H73" s="67"/>
      <c r="I73" s="67"/>
      <c r="J73" s="65"/>
    </row>
    <row r="74" spans="1:10" s="22" customFormat="1" ht="14.4" customHeight="1" x14ac:dyDescent="0.3">
      <c r="A74" s="63">
        <v>6</v>
      </c>
      <c r="B74" s="101"/>
      <c r="C74" s="102"/>
      <c r="D74" s="102"/>
      <c r="E74" s="102"/>
      <c r="F74" s="103"/>
      <c r="G74" s="64" t="e">
        <f>VLOOKUP($B74, metrics, 2, 0)</f>
        <v>#N/A</v>
      </c>
      <c r="H74" s="104"/>
      <c r="I74" s="105"/>
      <c r="J74" s="65"/>
    </row>
    <row r="75" spans="1:10" ht="10.050000000000001" customHeight="1" x14ac:dyDescent="0.3">
      <c r="A75" s="42"/>
      <c r="B75" s="43"/>
      <c r="C75" s="42"/>
      <c r="D75" s="42"/>
      <c r="E75" s="42"/>
      <c r="F75" s="42"/>
      <c r="G75" s="42"/>
      <c r="H75" s="42"/>
      <c r="I75" s="42"/>
      <c r="J75" s="44"/>
    </row>
    <row r="76" spans="1:10" ht="21" x14ac:dyDescent="0.4">
      <c r="A76" s="111" t="s">
        <v>154</v>
      </c>
      <c r="B76" s="111"/>
      <c r="C76" s="111"/>
      <c r="D76" s="111"/>
      <c r="E76" s="111"/>
      <c r="F76" s="111"/>
      <c r="G76" s="111"/>
      <c r="H76" s="111"/>
      <c r="I76" s="111"/>
      <c r="J76" s="44"/>
    </row>
    <row r="77" spans="1:10" ht="54" customHeight="1" x14ac:dyDescent="0.3">
      <c r="A77" s="42"/>
      <c r="B77" s="108" t="s">
        <v>155</v>
      </c>
      <c r="C77" s="109"/>
      <c r="D77" s="109"/>
      <c r="E77" s="109"/>
      <c r="F77" s="109"/>
      <c r="G77" s="109"/>
      <c r="H77" s="109"/>
      <c r="I77" s="110"/>
      <c r="J77" s="44"/>
    </row>
    <row r="78" spans="1:10" x14ac:dyDescent="0.3">
      <c r="A78" s="42"/>
      <c r="B78" s="43"/>
      <c r="C78" s="42"/>
      <c r="D78" s="42"/>
      <c r="E78" s="42"/>
      <c r="F78" s="42"/>
      <c r="G78" s="42"/>
      <c r="H78" s="42"/>
      <c r="I78" s="42"/>
      <c r="J78" s="44"/>
    </row>
    <row r="79" spans="1:10" x14ac:dyDescent="0.3">
      <c r="A79" s="42"/>
      <c r="B79" s="106" t="s">
        <v>152</v>
      </c>
      <c r="C79" s="106"/>
      <c r="D79" s="106"/>
      <c r="E79" s="106"/>
      <c r="F79" s="106"/>
      <c r="G79" s="48"/>
      <c r="H79" s="107"/>
      <c r="I79" s="107"/>
      <c r="J79" s="44"/>
    </row>
    <row r="80" spans="1:10" s="22" customFormat="1" x14ac:dyDescent="0.3">
      <c r="A80" s="63">
        <v>1</v>
      </c>
      <c r="B80" s="101"/>
      <c r="C80" s="102"/>
      <c r="D80" s="102"/>
      <c r="E80" s="102"/>
      <c r="F80" s="103"/>
      <c r="G80" s="64" t="e">
        <f>VLOOKUP($B80, metrics, 2, 0)</f>
        <v>#N/A</v>
      </c>
      <c r="H80" s="104"/>
      <c r="I80" s="105"/>
      <c r="J80" s="65"/>
    </row>
    <row r="81" spans="1:10" s="22" customFormat="1" ht="10.050000000000001" customHeight="1" x14ac:dyDescent="0.3">
      <c r="A81" s="63"/>
      <c r="B81" s="66"/>
      <c r="C81" s="67"/>
      <c r="D81" s="67"/>
      <c r="E81" s="67"/>
      <c r="F81" s="67"/>
      <c r="G81" s="67"/>
      <c r="H81" s="68"/>
      <c r="I81" s="68"/>
      <c r="J81" s="65"/>
    </row>
    <row r="82" spans="1:10" s="22" customFormat="1" x14ac:dyDescent="0.3">
      <c r="A82" s="63">
        <v>2</v>
      </c>
      <c r="B82" s="101"/>
      <c r="C82" s="102"/>
      <c r="D82" s="102"/>
      <c r="E82" s="102"/>
      <c r="F82" s="103"/>
      <c r="G82" s="64" t="e">
        <f>VLOOKUP($B82, metrics, 2, 0)</f>
        <v>#N/A</v>
      </c>
      <c r="H82" s="104"/>
      <c r="I82" s="105"/>
      <c r="J82" s="65"/>
    </row>
    <row r="83" spans="1:10" s="22" customFormat="1" ht="10.050000000000001" customHeight="1" x14ac:dyDescent="0.3">
      <c r="A83" s="63"/>
      <c r="B83" s="66"/>
      <c r="C83" s="67"/>
      <c r="D83" s="67"/>
      <c r="E83" s="67"/>
      <c r="F83" s="67"/>
      <c r="G83" s="67"/>
      <c r="H83" s="68"/>
      <c r="I83" s="68"/>
      <c r="J83" s="65"/>
    </row>
    <row r="84" spans="1:10" s="22" customFormat="1" x14ac:dyDescent="0.3">
      <c r="A84" s="63">
        <v>3</v>
      </c>
      <c r="B84" s="101"/>
      <c r="C84" s="102"/>
      <c r="D84" s="102"/>
      <c r="E84" s="102"/>
      <c r="F84" s="103"/>
      <c r="G84" s="64" t="e">
        <f>VLOOKUP($B84, metrics, 2, 0)</f>
        <v>#N/A</v>
      </c>
      <c r="H84" s="104"/>
      <c r="I84" s="105"/>
      <c r="J84" s="65"/>
    </row>
    <row r="85" spans="1:10" s="22" customFormat="1" ht="10.050000000000001" customHeight="1" x14ac:dyDescent="0.3">
      <c r="A85" s="63"/>
      <c r="B85" s="66"/>
      <c r="C85" s="67"/>
      <c r="D85" s="67"/>
      <c r="E85" s="67"/>
      <c r="F85" s="67"/>
      <c r="G85" s="67"/>
      <c r="H85" s="68"/>
      <c r="I85" s="68"/>
      <c r="J85" s="65"/>
    </row>
    <row r="86" spans="1:10" s="22" customFormat="1" x14ac:dyDescent="0.3">
      <c r="A86" s="63">
        <v>4</v>
      </c>
      <c r="B86" s="101"/>
      <c r="C86" s="102"/>
      <c r="D86" s="102"/>
      <c r="E86" s="102"/>
      <c r="F86" s="103"/>
      <c r="G86" s="64" t="e">
        <f>VLOOKUP($B86, metrics, 2, 0)</f>
        <v>#N/A</v>
      </c>
      <c r="H86" s="104"/>
      <c r="I86" s="105"/>
      <c r="J86" s="65"/>
    </row>
    <row r="87" spans="1:10" s="22" customFormat="1" ht="10.050000000000001" customHeight="1" x14ac:dyDescent="0.3">
      <c r="A87" s="63"/>
      <c r="B87" s="66"/>
      <c r="C87" s="67"/>
      <c r="D87" s="67"/>
      <c r="E87" s="67"/>
      <c r="F87" s="67"/>
      <c r="G87" s="67"/>
      <c r="H87" s="68"/>
      <c r="I87" s="68"/>
      <c r="J87" s="65"/>
    </row>
    <row r="88" spans="1:10" s="22" customFormat="1" x14ac:dyDescent="0.3">
      <c r="A88" s="63">
        <v>5</v>
      </c>
      <c r="B88" s="101"/>
      <c r="C88" s="102"/>
      <c r="D88" s="102"/>
      <c r="E88" s="102"/>
      <c r="F88" s="103"/>
      <c r="G88" s="64" t="e">
        <f>VLOOKUP($B88, metrics, 2, 0)</f>
        <v>#N/A</v>
      </c>
      <c r="H88" s="104"/>
      <c r="I88" s="105"/>
      <c r="J88" s="65"/>
    </row>
    <row r="89" spans="1:10" s="22" customFormat="1" ht="10.050000000000001" customHeight="1" x14ac:dyDescent="0.3">
      <c r="A89" s="63"/>
      <c r="B89" s="66"/>
      <c r="C89" s="67"/>
      <c r="D89" s="67"/>
      <c r="E89" s="67"/>
      <c r="F89" s="67"/>
      <c r="G89" s="67"/>
      <c r="H89" s="68"/>
      <c r="I89" s="68"/>
      <c r="J89" s="65"/>
    </row>
    <row r="90" spans="1:10" s="22" customFormat="1" x14ac:dyDescent="0.3">
      <c r="A90" s="63">
        <v>6</v>
      </c>
      <c r="B90" s="101"/>
      <c r="C90" s="102"/>
      <c r="D90" s="102"/>
      <c r="E90" s="102"/>
      <c r="F90" s="103"/>
      <c r="G90" s="64" t="e">
        <f>VLOOKUP($B90, metrics, 2, 0)</f>
        <v>#N/A</v>
      </c>
      <c r="H90" s="104"/>
      <c r="I90" s="105"/>
      <c r="J90" s="65"/>
    </row>
    <row r="91" spans="1:10" ht="10.050000000000001" customHeight="1" x14ac:dyDescent="0.3">
      <c r="A91" s="42"/>
      <c r="B91" s="43"/>
      <c r="C91" s="42"/>
      <c r="D91" s="42"/>
      <c r="E91" s="42"/>
      <c r="F91" s="42"/>
      <c r="G91" s="42"/>
      <c r="H91" s="42"/>
      <c r="I91" s="42"/>
      <c r="J91" s="44"/>
    </row>
  </sheetData>
  <mergeCells count="56">
    <mergeCell ref="E11:F11"/>
    <mergeCell ref="A2:I2"/>
    <mergeCell ref="B3:C3"/>
    <mergeCell ref="D3:F3"/>
    <mergeCell ref="A5:I5"/>
    <mergeCell ref="B6:I6"/>
    <mergeCell ref="C42:F42"/>
    <mergeCell ref="E15:F15"/>
    <mergeCell ref="E19:F19"/>
    <mergeCell ref="E23:F23"/>
    <mergeCell ref="A27:I27"/>
    <mergeCell ref="B28:I28"/>
    <mergeCell ref="C30:F30"/>
    <mergeCell ref="C32:F32"/>
    <mergeCell ref="C34:F34"/>
    <mergeCell ref="C36:F36"/>
    <mergeCell ref="C38:F38"/>
    <mergeCell ref="C40:F40"/>
    <mergeCell ref="C44:F44"/>
    <mergeCell ref="C46:F46"/>
    <mergeCell ref="A48:I48"/>
    <mergeCell ref="B49:I49"/>
    <mergeCell ref="B51:C53"/>
    <mergeCell ref="E51:I53"/>
    <mergeCell ref="B55:C56"/>
    <mergeCell ref="B58:C61"/>
    <mergeCell ref="B63:F63"/>
    <mergeCell ref="H63:I63"/>
    <mergeCell ref="B64:F64"/>
    <mergeCell ref="H64:I64"/>
    <mergeCell ref="B77:I77"/>
    <mergeCell ref="B66:F66"/>
    <mergeCell ref="H66:I66"/>
    <mergeCell ref="B68:F68"/>
    <mergeCell ref="H68:I68"/>
    <mergeCell ref="B70:F70"/>
    <mergeCell ref="H70:I70"/>
    <mergeCell ref="B72:F72"/>
    <mergeCell ref="H72:I72"/>
    <mergeCell ref="B74:F74"/>
    <mergeCell ref="H74:I74"/>
    <mergeCell ref="A76:I76"/>
    <mergeCell ref="B79:F79"/>
    <mergeCell ref="H79:I79"/>
    <mergeCell ref="B80:F80"/>
    <mergeCell ref="H80:I80"/>
    <mergeCell ref="B82:F82"/>
    <mergeCell ref="H82:I82"/>
    <mergeCell ref="B90:F90"/>
    <mergeCell ref="H90:I90"/>
    <mergeCell ref="B84:F84"/>
    <mergeCell ref="H84:I84"/>
    <mergeCell ref="B86:F86"/>
    <mergeCell ref="H86:I86"/>
    <mergeCell ref="B88:F88"/>
    <mergeCell ref="H88:I88"/>
  </mergeCells>
  <dataValidations count="7">
    <dataValidation type="list" allowBlank="1" showInputMessage="1" showErrorMessage="1" sqref="B80:F80 B82:F82 B84:F84 B88:F88 B86:F86 B90:F90" xr:uid="{F8F3C679-5A68-499B-B2DF-2B1FDB6D1D9E}">
      <formula1>preferred_criteria</formula1>
    </dataValidation>
    <dataValidation type="list" allowBlank="1" showInputMessage="1" showErrorMessage="1" sqref="E55" xr:uid="{14182DD2-4BCB-42F1-B725-F63553046F7C}">
      <formula1>"40%, 50%, 60%, 70%, 80%"</formula1>
    </dataValidation>
    <dataValidation type="list" allowBlank="1" showInputMessage="1" showErrorMessage="1" sqref="H64:I64 H66:I66 H68:I68 H70:I70 H72:I72 H74:I74 H80:I80 H82:I82 H84:I84 H86:I86 H88:I88 H90:I90" xr:uid="{525F5DE6-1778-4BA7-BBC2-ED2C2ABE2348}">
      <formula1>INDIRECT($G64)</formula1>
    </dataValidation>
    <dataValidation type="list" allowBlank="1" showInputMessage="1" showErrorMessage="1" sqref="B64:F64 B66:F66 B68:F68 B70:F70 B72:F72 B74:F74" xr:uid="{F59AF76D-5F43-4DDF-989F-8A006AA5677A}">
      <formula1>descriptions</formula1>
    </dataValidation>
    <dataValidation type="list" allowBlank="1" showInputMessage="1" showErrorMessage="1" sqref="C32:F32 C46:F46 C44:F44 C42:F42 C40:F40 C38:F38 C36:F36 C34:F34" xr:uid="{AAC9F2C3-927B-41EE-8B30-9BF5A83F9C8A}">
      <formula1>$P$2:$P$11</formula1>
    </dataValidation>
    <dataValidation type="list" allowBlank="1" showInputMessage="1" showErrorMessage="1" sqref="F9 I25 F25 C25 I21 F21 C21 I17 F17 C17 I13 F13 C13 I9" xr:uid="{4E617899-2C32-4C37-9D51-914A4C2858DD}">
      <formula1>$N$2:$N$6</formula1>
    </dataValidation>
    <dataValidation type="list" allowBlank="1" showInputMessage="1" showErrorMessage="1" sqref="E9 H25 E25 B25 H21 E21 B21 H17 E17 B17 H13 E13 B13 H9" xr:uid="{A2FBE703-33E3-4771-B7A1-AD6B38C85014}">
      <formula1>$L$2:$L$44</formula1>
    </dataValidation>
  </dataValidations>
  <pageMargins left="0.7" right="0.7" top="0.75" bottom="0.75" header="0.3" footer="0.3"/>
  <pageSetup orientation="portrait" r:id="rId1"/>
  <extLst>
    <ext xmlns:x14="http://schemas.microsoft.com/office/spreadsheetml/2009/9/main" uri="{CCE6A557-97BC-4b89-ADB6-D9C93CAAB3DF}">
      <x14:dataValidations xmlns:xm="http://schemas.microsoft.com/office/excel/2006/main" count="4">
        <x14:dataValidation type="list" allowBlank="1" showInputMessage="1" showErrorMessage="1" xr:uid="{CD1F7D54-5F75-4504-A6D7-325C4FF2AB53}">
          <x14:formula1>
            <xm:f>choices!$P$2:$P$11</xm:f>
          </x14:formula1>
          <xm:sqref>C30:F30</xm:sqref>
        </x14:dataValidation>
        <x14:dataValidation type="list" allowBlank="1" showInputMessage="1" showErrorMessage="1" xr:uid="{7DF49575-E899-4C0D-B206-BA060EEA9768}">
          <x14:formula1>
            <xm:f>choices!$I$2:$I$15</xm:f>
          </x14:formula1>
          <xm:sqref>D3:F3 E51:I53</xm:sqref>
        </x14:dataValidation>
        <x14:dataValidation type="list" allowBlank="1" showInputMessage="1" showErrorMessage="1" xr:uid="{E6114FDE-E6B4-4412-AA53-F1366D2D3853}">
          <x14:formula1>
            <xm:f>choices!$M$2:$M$6</xm:f>
          </x14:formula1>
          <xm:sqref>C9</xm:sqref>
        </x14:dataValidation>
        <x14:dataValidation type="list" allowBlank="1" showInputMessage="1" showErrorMessage="1" xr:uid="{C36F0E1A-6915-47D1-86CF-9B5BE999077A}">
          <x14:formula1>
            <xm:f>choices!$K$2:$K$44</xm:f>
          </x14:formula1>
          <xm:sqref>B9</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C775B52-0308-49D6-BA3A-7438C1EFE550}">
  <sheetPr codeName="Sheet3"/>
  <dimension ref="A1:J91"/>
  <sheetViews>
    <sheetView showGridLines="0" topLeftCell="A76" workbookViewId="0">
      <selection activeCell="E55" sqref="E55"/>
    </sheetView>
  </sheetViews>
  <sheetFormatPr defaultRowHeight="14.4" x14ac:dyDescent="0.3"/>
  <cols>
    <col min="1" max="1" width="3.109375" style="29" customWidth="1"/>
    <col min="2" max="2" width="12.77734375" style="30" customWidth="1"/>
    <col min="3" max="3" width="20.77734375" style="29" customWidth="1"/>
    <col min="4" max="4" width="4.77734375" style="29" bestFit="1" customWidth="1"/>
    <col min="5" max="5" width="12.77734375" style="29" customWidth="1"/>
    <col min="6" max="6" width="20.77734375" style="29" customWidth="1"/>
    <col min="7" max="7" width="5.21875" style="29" bestFit="1" customWidth="1"/>
    <col min="8" max="8" width="12.77734375" style="29" customWidth="1"/>
    <col min="9" max="9" width="20.77734375" style="29" customWidth="1"/>
    <col min="10" max="10" width="2.6640625" style="29" customWidth="1"/>
    <col min="11" max="16384" width="8.88671875" style="29"/>
  </cols>
  <sheetData>
    <row r="1" spans="1:10" x14ac:dyDescent="0.3">
      <c r="A1" s="42"/>
      <c r="B1" s="43"/>
      <c r="C1" s="42"/>
      <c r="D1" s="42"/>
      <c r="E1" s="42"/>
      <c r="F1" s="42"/>
      <c r="G1" s="42"/>
      <c r="H1" s="42"/>
      <c r="I1" s="42"/>
      <c r="J1" s="44"/>
    </row>
    <row r="2" spans="1:10" ht="21" x14ac:dyDescent="0.4">
      <c r="A2" s="111" t="s">
        <v>52</v>
      </c>
      <c r="B2" s="111"/>
      <c r="C2" s="111"/>
      <c r="D2" s="111"/>
      <c r="E2" s="111"/>
      <c r="F2" s="111"/>
      <c r="G2" s="111"/>
      <c r="H2" s="111"/>
      <c r="I2" s="111"/>
      <c r="J2" s="44"/>
    </row>
    <row r="3" spans="1:10" ht="14.4" customHeight="1" x14ac:dyDescent="0.3">
      <c r="A3" s="42"/>
      <c r="B3" s="127" t="s">
        <v>53</v>
      </c>
      <c r="C3" s="127"/>
      <c r="D3" s="114"/>
      <c r="E3" s="115"/>
      <c r="F3" s="116"/>
      <c r="G3" s="42"/>
      <c r="H3" s="42"/>
      <c r="I3" s="42"/>
      <c r="J3" s="44"/>
    </row>
    <row r="4" spans="1:10" x14ac:dyDescent="0.3">
      <c r="A4" s="42"/>
      <c r="B4" s="43"/>
      <c r="C4" s="42"/>
      <c r="D4" s="42"/>
      <c r="E4" s="42"/>
      <c r="F4" s="42"/>
      <c r="G4" s="42"/>
      <c r="H4" s="42"/>
      <c r="I4" s="42"/>
      <c r="J4" s="44"/>
    </row>
    <row r="5" spans="1:10" ht="21" x14ac:dyDescent="0.4">
      <c r="A5" s="111" t="s">
        <v>73</v>
      </c>
      <c r="B5" s="111"/>
      <c r="C5" s="111"/>
      <c r="D5" s="111"/>
      <c r="E5" s="111"/>
      <c r="F5" s="111"/>
      <c r="G5" s="111"/>
      <c r="H5" s="111"/>
      <c r="I5" s="111"/>
      <c r="J5" s="44"/>
    </row>
    <row r="6" spans="1:10" ht="84.6" customHeight="1" x14ac:dyDescent="0.4">
      <c r="A6" s="45"/>
      <c r="B6" s="108" t="s">
        <v>129</v>
      </c>
      <c r="C6" s="109"/>
      <c r="D6" s="109"/>
      <c r="E6" s="109"/>
      <c r="F6" s="109"/>
      <c r="G6" s="109"/>
      <c r="H6" s="109"/>
      <c r="I6" s="110"/>
      <c r="J6" s="44"/>
    </row>
    <row r="7" spans="1:10" x14ac:dyDescent="0.3">
      <c r="A7" s="46"/>
      <c r="B7" s="47" t="s">
        <v>75</v>
      </c>
      <c r="C7" s="48" t="s">
        <v>76</v>
      </c>
      <c r="D7" s="49"/>
      <c r="E7" s="47" t="s">
        <v>75</v>
      </c>
      <c r="F7" s="48" t="s">
        <v>76</v>
      </c>
      <c r="G7" s="49"/>
      <c r="H7" s="47" t="s">
        <v>75</v>
      </c>
      <c r="I7" s="48" t="s">
        <v>76</v>
      </c>
      <c r="J7" s="44"/>
    </row>
    <row r="8" spans="1:10" ht="10.050000000000001" customHeight="1" x14ac:dyDescent="0.3">
      <c r="A8" s="46"/>
      <c r="B8" s="46"/>
      <c r="C8" s="42"/>
      <c r="D8" s="50"/>
      <c r="E8" s="46"/>
      <c r="F8" s="42"/>
      <c r="G8" s="50"/>
      <c r="H8" s="46"/>
      <c r="I8" s="42"/>
      <c r="J8" s="44"/>
    </row>
    <row r="9" spans="1:10" x14ac:dyDescent="0.3">
      <c r="A9" s="46"/>
      <c r="B9" s="51"/>
      <c r="C9" s="52"/>
      <c r="D9" s="53" t="s">
        <v>78</v>
      </c>
      <c r="E9" s="51"/>
      <c r="F9" s="52"/>
      <c r="G9" s="53" t="s">
        <v>78</v>
      </c>
      <c r="H9" s="51"/>
      <c r="I9" s="52"/>
      <c r="J9" s="44"/>
    </row>
    <row r="10" spans="1:10" ht="10.050000000000001" customHeight="1" x14ac:dyDescent="0.3">
      <c r="A10" s="46"/>
      <c r="B10" s="54"/>
      <c r="C10" s="55"/>
      <c r="D10" s="56"/>
      <c r="E10" s="54"/>
      <c r="F10" s="55"/>
      <c r="G10" s="56"/>
      <c r="H10" s="54"/>
      <c r="I10" s="55"/>
      <c r="J10" s="44"/>
    </row>
    <row r="11" spans="1:10" x14ac:dyDescent="0.3">
      <c r="A11" s="46"/>
      <c r="B11" s="54"/>
      <c r="C11" s="55"/>
      <c r="D11" s="56"/>
      <c r="E11" s="126" t="s">
        <v>77</v>
      </c>
      <c r="F11" s="126"/>
      <c r="G11" s="56"/>
      <c r="H11" s="54"/>
      <c r="I11" s="55"/>
      <c r="J11" s="44"/>
    </row>
    <row r="12" spans="1:10" ht="10.050000000000001" customHeight="1" x14ac:dyDescent="0.3">
      <c r="A12" s="46"/>
      <c r="B12" s="54"/>
      <c r="C12" s="55"/>
      <c r="D12" s="56"/>
      <c r="E12" s="54"/>
      <c r="F12" s="55"/>
      <c r="G12" s="56"/>
      <c r="H12" s="54"/>
      <c r="I12" s="55"/>
      <c r="J12" s="44"/>
    </row>
    <row r="13" spans="1:10" x14ac:dyDescent="0.3">
      <c r="A13" s="46"/>
      <c r="B13" s="51"/>
      <c r="C13" s="52"/>
      <c r="D13" s="53" t="s">
        <v>78</v>
      </c>
      <c r="E13" s="51"/>
      <c r="F13" s="52"/>
      <c r="G13" s="53" t="s">
        <v>78</v>
      </c>
      <c r="H13" s="51"/>
      <c r="I13" s="52"/>
      <c r="J13" s="44"/>
    </row>
    <row r="14" spans="1:10" ht="10.050000000000001" customHeight="1" x14ac:dyDescent="0.3">
      <c r="A14" s="46"/>
      <c r="B14" s="54"/>
      <c r="C14" s="55"/>
      <c r="D14" s="56"/>
      <c r="E14" s="54"/>
      <c r="F14" s="55"/>
      <c r="G14" s="56"/>
      <c r="H14" s="54"/>
      <c r="I14" s="55"/>
      <c r="J14" s="44"/>
    </row>
    <row r="15" spans="1:10" x14ac:dyDescent="0.3">
      <c r="A15" s="46"/>
      <c r="B15" s="54"/>
      <c r="C15" s="55"/>
      <c r="D15" s="56"/>
      <c r="E15" s="126" t="s">
        <v>77</v>
      </c>
      <c r="F15" s="126"/>
      <c r="G15" s="56"/>
      <c r="H15" s="54"/>
      <c r="I15" s="55"/>
      <c r="J15" s="44"/>
    </row>
    <row r="16" spans="1:10" ht="10.050000000000001" customHeight="1" x14ac:dyDescent="0.3">
      <c r="A16" s="46"/>
      <c r="B16" s="54"/>
      <c r="C16" s="55"/>
      <c r="D16" s="56"/>
      <c r="E16" s="54"/>
      <c r="F16" s="55"/>
      <c r="G16" s="56"/>
      <c r="H16" s="54"/>
      <c r="I16" s="55"/>
      <c r="J16" s="44"/>
    </row>
    <row r="17" spans="1:10" x14ac:dyDescent="0.3">
      <c r="A17" s="46"/>
      <c r="B17" s="51"/>
      <c r="C17" s="52"/>
      <c r="D17" s="53" t="s">
        <v>78</v>
      </c>
      <c r="E17" s="51"/>
      <c r="F17" s="52"/>
      <c r="G17" s="53" t="s">
        <v>78</v>
      </c>
      <c r="H17" s="51"/>
      <c r="I17" s="52"/>
      <c r="J17" s="44"/>
    </row>
    <row r="18" spans="1:10" ht="10.050000000000001" customHeight="1" x14ac:dyDescent="0.3">
      <c r="A18" s="46"/>
      <c r="B18" s="54"/>
      <c r="C18" s="55"/>
      <c r="D18" s="56"/>
      <c r="E18" s="54"/>
      <c r="F18" s="55"/>
      <c r="G18" s="56"/>
      <c r="H18" s="54"/>
      <c r="I18" s="55"/>
      <c r="J18" s="44"/>
    </row>
    <row r="19" spans="1:10" x14ac:dyDescent="0.3">
      <c r="A19" s="46"/>
      <c r="B19" s="54"/>
      <c r="C19" s="55"/>
      <c r="D19" s="56"/>
      <c r="E19" s="126" t="s">
        <v>77</v>
      </c>
      <c r="F19" s="126"/>
      <c r="G19" s="56"/>
      <c r="H19" s="54"/>
      <c r="I19" s="55"/>
      <c r="J19" s="44"/>
    </row>
    <row r="20" spans="1:10" ht="10.050000000000001" customHeight="1" x14ac:dyDescent="0.3">
      <c r="A20" s="46"/>
      <c r="B20" s="54"/>
      <c r="C20" s="55"/>
      <c r="D20" s="56"/>
      <c r="E20" s="54"/>
      <c r="F20" s="55"/>
      <c r="G20" s="56"/>
      <c r="H20" s="54"/>
      <c r="I20" s="55"/>
      <c r="J20" s="44"/>
    </row>
    <row r="21" spans="1:10" x14ac:dyDescent="0.3">
      <c r="A21" s="46"/>
      <c r="B21" s="51"/>
      <c r="C21" s="52"/>
      <c r="D21" s="53" t="s">
        <v>78</v>
      </c>
      <c r="E21" s="51"/>
      <c r="F21" s="52"/>
      <c r="G21" s="53" t="s">
        <v>78</v>
      </c>
      <c r="H21" s="51"/>
      <c r="I21" s="52"/>
      <c r="J21" s="44"/>
    </row>
    <row r="22" spans="1:10" ht="10.050000000000001" customHeight="1" x14ac:dyDescent="0.3">
      <c r="A22" s="46"/>
      <c r="B22" s="54"/>
      <c r="C22" s="55"/>
      <c r="D22" s="56"/>
      <c r="E22" s="54"/>
      <c r="F22" s="55"/>
      <c r="G22" s="56"/>
      <c r="H22" s="54"/>
      <c r="I22" s="55"/>
      <c r="J22" s="44"/>
    </row>
    <row r="23" spans="1:10" x14ac:dyDescent="0.3">
      <c r="A23" s="46"/>
      <c r="B23" s="54"/>
      <c r="C23" s="55"/>
      <c r="D23" s="56"/>
      <c r="E23" s="126" t="s">
        <v>77</v>
      </c>
      <c r="F23" s="126"/>
      <c r="G23" s="56"/>
      <c r="H23" s="54"/>
      <c r="I23" s="55"/>
      <c r="J23" s="44"/>
    </row>
    <row r="24" spans="1:10" ht="10.050000000000001" customHeight="1" x14ac:dyDescent="0.3">
      <c r="A24" s="46"/>
      <c r="B24" s="54"/>
      <c r="C24" s="55"/>
      <c r="D24" s="56"/>
      <c r="E24" s="54"/>
      <c r="F24" s="55"/>
      <c r="G24" s="56"/>
      <c r="H24" s="54"/>
      <c r="I24" s="55"/>
      <c r="J24" s="44"/>
    </row>
    <row r="25" spans="1:10" x14ac:dyDescent="0.3">
      <c r="A25" s="46"/>
      <c r="B25" s="51"/>
      <c r="C25" s="52"/>
      <c r="D25" s="53" t="s">
        <v>78</v>
      </c>
      <c r="E25" s="51"/>
      <c r="F25" s="52"/>
      <c r="G25" s="53" t="s">
        <v>78</v>
      </c>
      <c r="H25" s="51"/>
      <c r="I25" s="52"/>
      <c r="J25" s="44"/>
    </row>
    <row r="26" spans="1:10" x14ac:dyDescent="0.3">
      <c r="A26" s="46"/>
      <c r="B26" s="54"/>
      <c r="C26" s="55"/>
      <c r="D26" s="57"/>
      <c r="E26" s="54"/>
      <c r="F26" s="55"/>
      <c r="G26" s="57"/>
      <c r="H26" s="54"/>
      <c r="I26" s="55"/>
      <c r="J26" s="44"/>
    </row>
    <row r="27" spans="1:10" ht="21" x14ac:dyDescent="0.4">
      <c r="A27" s="111" t="s">
        <v>74</v>
      </c>
      <c r="B27" s="111"/>
      <c r="C27" s="111"/>
      <c r="D27" s="111"/>
      <c r="E27" s="111"/>
      <c r="F27" s="111"/>
      <c r="G27" s="111"/>
      <c r="H27" s="111"/>
      <c r="I27" s="111"/>
      <c r="J27" s="44"/>
    </row>
    <row r="28" spans="1:10" ht="78" customHeight="1" x14ac:dyDescent="0.3">
      <c r="A28" s="42"/>
      <c r="B28" s="108" t="s">
        <v>130</v>
      </c>
      <c r="C28" s="109"/>
      <c r="D28" s="109"/>
      <c r="E28" s="109"/>
      <c r="F28" s="109"/>
      <c r="G28" s="109"/>
      <c r="H28" s="109"/>
      <c r="I28" s="110"/>
      <c r="J28" s="44"/>
    </row>
    <row r="29" spans="1:10" ht="10.050000000000001" customHeight="1" x14ac:dyDescent="0.3">
      <c r="A29" s="42"/>
      <c r="B29" s="43"/>
      <c r="C29" s="42"/>
      <c r="D29" s="42"/>
      <c r="E29" s="42"/>
      <c r="F29" s="42"/>
      <c r="G29" s="42"/>
      <c r="H29" s="42"/>
      <c r="I29" s="42"/>
      <c r="J29" s="44"/>
    </row>
    <row r="30" spans="1:10" x14ac:dyDescent="0.3">
      <c r="A30" s="42"/>
      <c r="B30" s="58" t="s">
        <v>131</v>
      </c>
      <c r="C30" s="114"/>
      <c r="D30" s="115"/>
      <c r="E30" s="115"/>
      <c r="F30" s="116"/>
      <c r="G30" s="48" t="s">
        <v>77</v>
      </c>
      <c r="H30" s="42"/>
      <c r="I30" s="42"/>
      <c r="J30" s="44"/>
    </row>
    <row r="31" spans="1:10" ht="10.050000000000001" customHeight="1" x14ac:dyDescent="0.3">
      <c r="A31" s="42"/>
      <c r="B31" s="58"/>
      <c r="C31" s="59"/>
      <c r="D31" s="46"/>
      <c r="E31" s="46"/>
      <c r="F31" s="46"/>
      <c r="G31" s="42"/>
      <c r="H31" s="42"/>
      <c r="I31" s="42"/>
      <c r="J31" s="44"/>
    </row>
    <row r="32" spans="1:10" x14ac:dyDescent="0.3">
      <c r="A32" s="42"/>
      <c r="B32" s="58" t="s">
        <v>132</v>
      </c>
      <c r="C32" s="114"/>
      <c r="D32" s="115"/>
      <c r="E32" s="115"/>
      <c r="F32" s="116"/>
      <c r="G32" s="48" t="s">
        <v>77</v>
      </c>
      <c r="H32" s="42"/>
      <c r="I32" s="42"/>
      <c r="J32" s="44"/>
    </row>
    <row r="33" spans="1:10" ht="10.050000000000001" customHeight="1" x14ac:dyDescent="0.3">
      <c r="A33" s="42"/>
      <c r="B33" s="58"/>
      <c r="C33" s="59"/>
      <c r="D33" s="46"/>
      <c r="E33" s="46"/>
      <c r="F33" s="46"/>
      <c r="G33" s="42"/>
      <c r="H33" s="42"/>
      <c r="I33" s="42"/>
      <c r="J33" s="44"/>
    </row>
    <row r="34" spans="1:10" x14ac:dyDescent="0.3">
      <c r="A34" s="42"/>
      <c r="B34" s="58" t="s">
        <v>133</v>
      </c>
      <c r="C34" s="114"/>
      <c r="D34" s="115"/>
      <c r="E34" s="115"/>
      <c r="F34" s="116"/>
      <c r="G34" s="48" t="s">
        <v>77</v>
      </c>
      <c r="H34" s="42"/>
      <c r="I34" s="42"/>
      <c r="J34" s="44"/>
    </row>
    <row r="35" spans="1:10" ht="10.050000000000001" customHeight="1" x14ac:dyDescent="0.3">
      <c r="A35" s="42"/>
      <c r="B35" s="58"/>
      <c r="C35" s="59"/>
      <c r="D35" s="46"/>
      <c r="E35" s="46"/>
      <c r="F35" s="46"/>
      <c r="G35" s="42"/>
      <c r="H35" s="42"/>
      <c r="I35" s="42"/>
      <c r="J35" s="44"/>
    </row>
    <row r="36" spans="1:10" x14ac:dyDescent="0.3">
      <c r="A36" s="42"/>
      <c r="B36" s="58" t="s">
        <v>134</v>
      </c>
      <c r="C36" s="114"/>
      <c r="D36" s="115"/>
      <c r="E36" s="115"/>
      <c r="F36" s="116"/>
      <c r="G36" s="48" t="s">
        <v>77</v>
      </c>
      <c r="H36" s="42"/>
      <c r="I36" s="42"/>
      <c r="J36" s="44"/>
    </row>
    <row r="37" spans="1:10" ht="10.050000000000001" customHeight="1" x14ac:dyDescent="0.3">
      <c r="A37" s="42"/>
      <c r="B37" s="58"/>
      <c r="C37" s="59"/>
      <c r="D37" s="46"/>
      <c r="E37" s="46"/>
      <c r="F37" s="46"/>
      <c r="G37" s="42"/>
      <c r="H37" s="42"/>
      <c r="I37" s="42"/>
      <c r="J37" s="44"/>
    </row>
    <row r="38" spans="1:10" x14ac:dyDescent="0.3">
      <c r="A38" s="42"/>
      <c r="B38" s="58" t="s">
        <v>135</v>
      </c>
      <c r="C38" s="114"/>
      <c r="D38" s="115"/>
      <c r="E38" s="115"/>
      <c r="F38" s="116"/>
      <c r="G38" s="48" t="s">
        <v>77</v>
      </c>
      <c r="H38" s="42"/>
      <c r="I38" s="42"/>
      <c r="J38" s="44"/>
    </row>
    <row r="39" spans="1:10" ht="10.050000000000001" customHeight="1" x14ac:dyDescent="0.3">
      <c r="A39" s="42"/>
      <c r="B39" s="58"/>
      <c r="C39" s="59"/>
      <c r="D39" s="46"/>
      <c r="E39" s="46"/>
      <c r="F39" s="46"/>
      <c r="G39" s="42"/>
      <c r="H39" s="42"/>
      <c r="I39" s="42"/>
      <c r="J39" s="44"/>
    </row>
    <row r="40" spans="1:10" x14ac:dyDescent="0.3">
      <c r="A40" s="42"/>
      <c r="B40" s="58" t="s">
        <v>136</v>
      </c>
      <c r="C40" s="114"/>
      <c r="D40" s="115"/>
      <c r="E40" s="115"/>
      <c r="F40" s="116"/>
      <c r="G40" s="48" t="s">
        <v>77</v>
      </c>
      <c r="H40" s="42"/>
      <c r="I40" s="42"/>
      <c r="J40" s="44"/>
    </row>
    <row r="41" spans="1:10" ht="10.050000000000001" customHeight="1" x14ac:dyDescent="0.3">
      <c r="A41" s="42"/>
      <c r="B41" s="58"/>
      <c r="C41" s="59"/>
      <c r="D41" s="46"/>
      <c r="E41" s="46"/>
      <c r="F41" s="46"/>
      <c r="G41" s="42"/>
      <c r="H41" s="42"/>
      <c r="I41" s="42"/>
      <c r="J41" s="44"/>
    </row>
    <row r="42" spans="1:10" x14ac:dyDescent="0.3">
      <c r="A42" s="42"/>
      <c r="B42" s="58" t="s">
        <v>137</v>
      </c>
      <c r="C42" s="114"/>
      <c r="D42" s="115"/>
      <c r="E42" s="115"/>
      <c r="F42" s="116"/>
      <c r="G42" s="48" t="s">
        <v>77</v>
      </c>
      <c r="H42" s="42"/>
      <c r="I42" s="42"/>
      <c r="J42" s="44"/>
    </row>
    <row r="43" spans="1:10" ht="10.050000000000001" customHeight="1" x14ac:dyDescent="0.3">
      <c r="A43" s="42"/>
      <c r="B43" s="58"/>
      <c r="C43" s="59"/>
      <c r="D43" s="46"/>
      <c r="E43" s="46"/>
      <c r="F43" s="46"/>
      <c r="G43" s="42"/>
      <c r="H43" s="42"/>
      <c r="I43" s="42"/>
      <c r="J43" s="44"/>
    </row>
    <row r="44" spans="1:10" x14ac:dyDescent="0.3">
      <c r="A44" s="42"/>
      <c r="B44" s="58" t="s">
        <v>138</v>
      </c>
      <c r="C44" s="114"/>
      <c r="D44" s="115"/>
      <c r="E44" s="115"/>
      <c r="F44" s="116"/>
      <c r="G44" s="48" t="s">
        <v>77</v>
      </c>
      <c r="H44" s="42"/>
      <c r="I44" s="42"/>
      <c r="J44" s="44"/>
    </row>
    <row r="45" spans="1:10" ht="10.050000000000001" customHeight="1" x14ac:dyDescent="0.3">
      <c r="A45" s="42"/>
      <c r="B45" s="58"/>
      <c r="C45" s="59"/>
      <c r="D45" s="46"/>
      <c r="E45" s="46"/>
      <c r="F45" s="46"/>
      <c r="G45" s="42"/>
      <c r="H45" s="42"/>
      <c r="I45" s="42"/>
      <c r="J45" s="44"/>
    </row>
    <row r="46" spans="1:10" x14ac:dyDescent="0.3">
      <c r="A46" s="42"/>
      <c r="B46" s="58" t="s">
        <v>139</v>
      </c>
      <c r="C46" s="114"/>
      <c r="D46" s="115"/>
      <c r="E46" s="115"/>
      <c r="F46" s="116"/>
      <c r="G46" s="48"/>
      <c r="H46" s="42"/>
      <c r="I46" s="42"/>
      <c r="J46" s="44"/>
    </row>
    <row r="47" spans="1:10" ht="10.050000000000001" customHeight="1" x14ac:dyDescent="0.3">
      <c r="A47" s="42"/>
      <c r="B47" s="59"/>
      <c r="C47" s="59"/>
      <c r="D47" s="42"/>
      <c r="E47" s="42"/>
      <c r="F47" s="42"/>
      <c r="G47" s="42"/>
      <c r="H47" s="42"/>
      <c r="I47" s="42"/>
      <c r="J47" s="44"/>
    </row>
    <row r="48" spans="1:10" ht="21" x14ac:dyDescent="0.4">
      <c r="A48" s="111" t="s">
        <v>72</v>
      </c>
      <c r="B48" s="111"/>
      <c r="C48" s="111"/>
      <c r="D48" s="111"/>
      <c r="E48" s="111"/>
      <c r="F48" s="111"/>
      <c r="G48" s="111"/>
      <c r="H48" s="111"/>
      <c r="I48" s="111"/>
      <c r="J48" s="44"/>
    </row>
    <row r="49" spans="1:10" ht="50.4" customHeight="1" x14ac:dyDescent="0.3">
      <c r="A49" s="42"/>
      <c r="B49" s="108" t="s">
        <v>151</v>
      </c>
      <c r="C49" s="109"/>
      <c r="D49" s="109"/>
      <c r="E49" s="109"/>
      <c r="F49" s="109"/>
      <c r="G49" s="109"/>
      <c r="H49" s="109"/>
      <c r="I49" s="110"/>
      <c r="J49" s="44"/>
    </row>
    <row r="50" spans="1:10" ht="10.050000000000001" customHeight="1" x14ac:dyDescent="0.3">
      <c r="A50" s="42"/>
      <c r="B50" s="43"/>
      <c r="C50" s="42"/>
      <c r="D50" s="42"/>
      <c r="E50" s="42"/>
      <c r="F50" s="42"/>
      <c r="G50" s="42"/>
      <c r="H50" s="42"/>
      <c r="I50" s="42"/>
      <c r="J50" s="44"/>
    </row>
    <row r="51" spans="1:10" ht="14.4" customHeight="1" x14ac:dyDescent="0.3">
      <c r="A51" s="42"/>
      <c r="B51" s="112" t="s">
        <v>223</v>
      </c>
      <c r="C51" s="112"/>
      <c r="D51" s="42"/>
      <c r="E51" s="117"/>
      <c r="F51" s="118"/>
      <c r="G51" s="118"/>
      <c r="H51" s="118"/>
      <c r="I51" s="119"/>
      <c r="J51" s="44"/>
    </row>
    <row r="52" spans="1:10" x14ac:dyDescent="0.3">
      <c r="A52" s="42"/>
      <c r="B52" s="112"/>
      <c r="C52" s="112"/>
      <c r="D52" s="42"/>
      <c r="E52" s="120"/>
      <c r="F52" s="121"/>
      <c r="G52" s="121"/>
      <c r="H52" s="121"/>
      <c r="I52" s="122"/>
      <c r="J52" s="44"/>
    </row>
    <row r="53" spans="1:10" x14ac:dyDescent="0.3">
      <c r="A53" s="42"/>
      <c r="B53" s="112"/>
      <c r="C53" s="112"/>
      <c r="D53" s="42"/>
      <c r="E53" s="123"/>
      <c r="F53" s="124"/>
      <c r="G53" s="124"/>
      <c r="H53" s="124"/>
      <c r="I53" s="125"/>
      <c r="J53" s="44"/>
    </row>
    <row r="54" spans="1:10" ht="10.050000000000001" customHeight="1" x14ac:dyDescent="0.3">
      <c r="A54" s="42"/>
      <c r="B54" s="43"/>
      <c r="C54" s="42"/>
      <c r="D54" s="42"/>
      <c r="E54" s="42"/>
      <c r="F54" s="42"/>
      <c r="G54" s="42"/>
      <c r="H54" s="42"/>
      <c r="I54" s="42"/>
      <c r="J54" s="44"/>
    </row>
    <row r="55" spans="1:10" ht="14.4" customHeight="1" x14ac:dyDescent="0.3">
      <c r="A55" s="42"/>
      <c r="B55" s="112" t="s">
        <v>216</v>
      </c>
      <c r="C55" s="112"/>
      <c r="D55" s="42"/>
      <c r="E55" s="60"/>
      <c r="F55" s="42"/>
      <c r="G55" s="42"/>
      <c r="H55" s="42"/>
      <c r="I55" s="42"/>
      <c r="J55" s="44"/>
    </row>
    <row r="56" spans="1:10" ht="14.4" customHeight="1" x14ac:dyDescent="0.3">
      <c r="A56" s="42"/>
      <c r="B56" s="112"/>
      <c r="C56" s="112"/>
      <c r="D56" s="42"/>
      <c r="E56" s="42"/>
      <c r="F56" s="42"/>
      <c r="G56" s="42"/>
      <c r="H56" s="42"/>
      <c r="I56" s="42"/>
      <c r="J56" s="44"/>
    </row>
    <row r="57" spans="1:10" ht="10.050000000000001" customHeight="1" x14ac:dyDescent="0.3">
      <c r="A57" s="42"/>
      <c r="B57" s="59"/>
      <c r="C57" s="59"/>
      <c r="D57" s="42"/>
      <c r="E57" s="42"/>
      <c r="F57" s="42"/>
      <c r="G57" s="42"/>
      <c r="H57" s="42"/>
      <c r="I57" s="42"/>
      <c r="J57" s="44"/>
    </row>
    <row r="58" spans="1:10" ht="14.4" customHeight="1" x14ac:dyDescent="0.3">
      <c r="A58" s="42"/>
      <c r="B58" s="112" t="s">
        <v>224</v>
      </c>
      <c r="C58" s="112"/>
      <c r="D58" s="42"/>
      <c r="E58" s="61"/>
      <c r="F58" s="42"/>
      <c r="G58" s="42"/>
      <c r="H58" s="42"/>
      <c r="I58" s="42"/>
      <c r="J58" s="44"/>
    </row>
    <row r="59" spans="1:10" ht="14.4" customHeight="1" x14ac:dyDescent="0.3">
      <c r="A59" s="42"/>
      <c r="B59" s="112"/>
      <c r="C59" s="112"/>
      <c r="D59" s="42"/>
      <c r="E59" s="62"/>
      <c r="F59" s="42"/>
      <c r="G59" s="42"/>
      <c r="H59" s="42"/>
      <c r="I59" s="42"/>
      <c r="J59" s="44"/>
    </row>
    <row r="60" spans="1:10" ht="14.4" customHeight="1" x14ac:dyDescent="0.3">
      <c r="A60" s="42"/>
      <c r="B60" s="112"/>
      <c r="C60" s="112"/>
      <c r="D60" s="42"/>
      <c r="E60" s="62"/>
      <c r="F60" s="42"/>
      <c r="G60" s="42"/>
      <c r="H60" s="42"/>
      <c r="I60" s="42"/>
      <c r="J60" s="44"/>
    </row>
    <row r="61" spans="1:10" ht="14.4" customHeight="1" x14ac:dyDescent="0.3">
      <c r="A61" s="42"/>
      <c r="B61" s="112"/>
      <c r="C61" s="112"/>
      <c r="D61" s="42"/>
      <c r="E61" s="42"/>
      <c r="F61" s="42"/>
      <c r="G61" s="42"/>
      <c r="H61" s="42"/>
      <c r="I61" s="42"/>
      <c r="J61" s="44"/>
    </row>
    <row r="62" spans="1:10" ht="10.050000000000001" customHeight="1" x14ac:dyDescent="0.3">
      <c r="A62" s="42"/>
      <c r="B62" s="43"/>
      <c r="C62" s="42"/>
      <c r="D62" s="42"/>
      <c r="E62" s="42"/>
      <c r="F62" s="42"/>
      <c r="G62" s="42"/>
      <c r="H62" s="42"/>
      <c r="I62" s="42"/>
      <c r="J62" s="44"/>
    </row>
    <row r="63" spans="1:10" x14ac:dyDescent="0.3">
      <c r="A63" s="42"/>
      <c r="B63" s="106" t="s">
        <v>152</v>
      </c>
      <c r="C63" s="106"/>
      <c r="D63" s="106"/>
      <c r="E63" s="106"/>
      <c r="F63" s="106"/>
      <c r="G63" s="48"/>
      <c r="H63" s="113" t="s">
        <v>153</v>
      </c>
      <c r="I63" s="113"/>
      <c r="J63" s="44"/>
    </row>
    <row r="64" spans="1:10" s="22" customFormat="1" x14ac:dyDescent="0.3">
      <c r="A64" s="63">
        <v>1</v>
      </c>
      <c r="B64" s="101"/>
      <c r="C64" s="102"/>
      <c r="D64" s="102"/>
      <c r="E64" s="102"/>
      <c r="F64" s="103"/>
      <c r="G64" s="64" t="e">
        <f>VLOOKUP($B64, metrics, 2, 0)</f>
        <v>#N/A</v>
      </c>
      <c r="H64" s="104"/>
      <c r="I64" s="105"/>
      <c r="J64" s="65"/>
    </row>
    <row r="65" spans="1:10" s="22" customFormat="1" ht="10.050000000000001" customHeight="1" x14ac:dyDescent="0.3">
      <c r="A65" s="63"/>
      <c r="B65" s="66"/>
      <c r="C65" s="67"/>
      <c r="D65" s="67"/>
      <c r="E65" s="67"/>
      <c r="F65" s="67"/>
      <c r="G65" s="64"/>
      <c r="H65" s="67"/>
      <c r="I65" s="67"/>
      <c r="J65" s="65"/>
    </row>
    <row r="66" spans="1:10" s="22" customFormat="1" ht="14.4" customHeight="1" x14ac:dyDescent="0.3">
      <c r="A66" s="63">
        <v>2</v>
      </c>
      <c r="B66" s="101"/>
      <c r="C66" s="102"/>
      <c r="D66" s="102"/>
      <c r="E66" s="102"/>
      <c r="F66" s="103"/>
      <c r="G66" s="64" t="e">
        <f>VLOOKUP($B66, metrics, 2, 0)</f>
        <v>#N/A</v>
      </c>
      <c r="H66" s="104"/>
      <c r="I66" s="105"/>
      <c r="J66" s="65"/>
    </row>
    <row r="67" spans="1:10" s="22" customFormat="1" ht="10.050000000000001" customHeight="1" x14ac:dyDescent="0.3">
      <c r="A67" s="63"/>
      <c r="B67" s="66"/>
      <c r="C67" s="67"/>
      <c r="D67" s="67"/>
      <c r="E67" s="67"/>
      <c r="F67" s="67"/>
      <c r="G67" s="64"/>
      <c r="H67" s="67"/>
      <c r="I67" s="67"/>
      <c r="J67" s="65"/>
    </row>
    <row r="68" spans="1:10" s="22" customFormat="1" ht="14.4" customHeight="1" x14ac:dyDescent="0.3">
      <c r="A68" s="63">
        <v>3</v>
      </c>
      <c r="B68" s="101"/>
      <c r="C68" s="102"/>
      <c r="D68" s="102"/>
      <c r="E68" s="102"/>
      <c r="F68" s="103"/>
      <c r="G68" s="64" t="e">
        <f>VLOOKUP($B68, metrics, 2, 0)</f>
        <v>#N/A</v>
      </c>
      <c r="H68" s="104"/>
      <c r="I68" s="105"/>
      <c r="J68" s="65"/>
    </row>
    <row r="69" spans="1:10" s="22" customFormat="1" ht="10.050000000000001" customHeight="1" x14ac:dyDescent="0.3">
      <c r="A69" s="63"/>
      <c r="B69" s="66"/>
      <c r="C69" s="67"/>
      <c r="D69" s="67"/>
      <c r="E69" s="67"/>
      <c r="F69" s="67"/>
      <c r="G69" s="64"/>
      <c r="H69" s="67"/>
      <c r="I69" s="67"/>
      <c r="J69" s="65"/>
    </row>
    <row r="70" spans="1:10" s="22" customFormat="1" ht="14.4" customHeight="1" x14ac:dyDescent="0.3">
      <c r="A70" s="63">
        <v>4</v>
      </c>
      <c r="B70" s="101"/>
      <c r="C70" s="102"/>
      <c r="D70" s="102"/>
      <c r="E70" s="102"/>
      <c r="F70" s="103"/>
      <c r="G70" s="64" t="e">
        <f>VLOOKUP($B70, metrics, 2, 0)</f>
        <v>#N/A</v>
      </c>
      <c r="H70" s="104"/>
      <c r="I70" s="105"/>
      <c r="J70" s="65"/>
    </row>
    <row r="71" spans="1:10" s="22" customFormat="1" ht="10.050000000000001" customHeight="1" x14ac:dyDescent="0.3">
      <c r="A71" s="63"/>
      <c r="B71" s="66"/>
      <c r="C71" s="67"/>
      <c r="D71" s="67"/>
      <c r="E71" s="67"/>
      <c r="F71" s="67"/>
      <c r="G71" s="64"/>
      <c r="H71" s="67"/>
      <c r="I71" s="67"/>
      <c r="J71" s="65"/>
    </row>
    <row r="72" spans="1:10" s="22" customFormat="1" ht="14.4" customHeight="1" x14ac:dyDescent="0.3">
      <c r="A72" s="63">
        <v>5</v>
      </c>
      <c r="B72" s="101"/>
      <c r="C72" s="102"/>
      <c r="D72" s="102"/>
      <c r="E72" s="102"/>
      <c r="F72" s="103"/>
      <c r="G72" s="64" t="e">
        <f>VLOOKUP($B72, metrics, 2, 0)</f>
        <v>#N/A</v>
      </c>
      <c r="H72" s="104"/>
      <c r="I72" s="105"/>
      <c r="J72" s="65"/>
    </row>
    <row r="73" spans="1:10" s="22" customFormat="1" ht="10.050000000000001" customHeight="1" x14ac:dyDescent="0.3">
      <c r="A73" s="63"/>
      <c r="B73" s="66"/>
      <c r="C73" s="67"/>
      <c r="D73" s="67"/>
      <c r="E73" s="67"/>
      <c r="F73" s="67"/>
      <c r="G73" s="64"/>
      <c r="H73" s="67"/>
      <c r="I73" s="67"/>
      <c r="J73" s="65"/>
    </row>
    <row r="74" spans="1:10" s="22" customFormat="1" ht="14.4" customHeight="1" x14ac:dyDescent="0.3">
      <c r="A74" s="63">
        <v>6</v>
      </c>
      <c r="B74" s="101"/>
      <c r="C74" s="102"/>
      <c r="D74" s="102"/>
      <c r="E74" s="102"/>
      <c r="F74" s="103"/>
      <c r="G74" s="64" t="e">
        <f>VLOOKUP($B74, metrics, 2, 0)</f>
        <v>#N/A</v>
      </c>
      <c r="H74" s="104"/>
      <c r="I74" s="105"/>
      <c r="J74" s="65"/>
    </row>
    <row r="75" spans="1:10" ht="10.050000000000001" customHeight="1" x14ac:dyDescent="0.3">
      <c r="A75" s="42"/>
      <c r="B75" s="43"/>
      <c r="C75" s="42"/>
      <c r="D75" s="42"/>
      <c r="E75" s="42"/>
      <c r="F75" s="42"/>
      <c r="G75" s="42"/>
      <c r="H75" s="42"/>
      <c r="I75" s="42"/>
      <c r="J75" s="44"/>
    </row>
    <row r="76" spans="1:10" ht="21" x14ac:dyDescent="0.4">
      <c r="A76" s="111" t="s">
        <v>154</v>
      </c>
      <c r="B76" s="111"/>
      <c r="C76" s="111"/>
      <c r="D76" s="111"/>
      <c r="E76" s="111"/>
      <c r="F76" s="111"/>
      <c r="G76" s="111"/>
      <c r="H76" s="111"/>
      <c r="I76" s="111"/>
      <c r="J76" s="44"/>
    </row>
    <row r="77" spans="1:10" ht="54" customHeight="1" x14ac:dyDescent="0.3">
      <c r="A77" s="42"/>
      <c r="B77" s="108" t="s">
        <v>155</v>
      </c>
      <c r="C77" s="109"/>
      <c r="D77" s="109"/>
      <c r="E77" s="109"/>
      <c r="F77" s="109"/>
      <c r="G77" s="109"/>
      <c r="H77" s="109"/>
      <c r="I77" s="110"/>
      <c r="J77" s="44"/>
    </row>
    <row r="78" spans="1:10" x14ac:dyDescent="0.3">
      <c r="A78" s="42"/>
      <c r="B78" s="43"/>
      <c r="C78" s="42"/>
      <c r="D78" s="42"/>
      <c r="E78" s="42"/>
      <c r="F78" s="42"/>
      <c r="G78" s="42"/>
      <c r="H78" s="42"/>
      <c r="I78" s="42"/>
      <c r="J78" s="44"/>
    </row>
    <row r="79" spans="1:10" x14ac:dyDescent="0.3">
      <c r="A79" s="42"/>
      <c r="B79" s="106" t="s">
        <v>152</v>
      </c>
      <c r="C79" s="106"/>
      <c r="D79" s="106"/>
      <c r="E79" s="106"/>
      <c r="F79" s="106"/>
      <c r="G79" s="48"/>
      <c r="H79" s="107"/>
      <c r="I79" s="107"/>
      <c r="J79" s="44"/>
    </row>
    <row r="80" spans="1:10" s="22" customFormat="1" x14ac:dyDescent="0.3">
      <c r="A80" s="63">
        <v>1</v>
      </c>
      <c r="B80" s="101"/>
      <c r="C80" s="102"/>
      <c r="D80" s="102"/>
      <c r="E80" s="102"/>
      <c r="F80" s="103"/>
      <c r="G80" s="64" t="e">
        <f>VLOOKUP($B80, metrics, 2, 0)</f>
        <v>#N/A</v>
      </c>
      <c r="H80" s="104"/>
      <c r="I80" s="105"/>
      <c r="J80" s="65"/>
    </row>
    <row r="81" spans="1:10" s="22" customFormat="1" ht="10.050000000000001" customHeight="1" x14ac:dyDescent="0.3">
      <c r="A81" s="63"/>
      <c r="B81" s="66"/>
      <c r="C81" s="67"/>
      <c r="D81" s="67"/>
      <c r="E81" s="67"/>
      <c r="F81" s="67"/>
      <c r="G81" s="67"/>
      <c r="H81" s="68"/>
      <c r="I81" s="68"/>
      <c r="J81" s="65"/>
    </row>
    <row r="82" spans="1:10" s="22" customFormat="1" x14ac:dyDescent="0.3">
      <c r="A82" s="63">
        <v>2</v>
      </c>
      <c r="B82" s="101"/>
      <c r="C82" s="102"/>
      <c r="D82" s="102"/>
      <c r="E82" s="102"/>
      <c r="F82" s="103"/>
      <c r="G82" s="64" t="e">
        <f>VLOOKUP($B82, metrics, 2, 0)</f>
        <v>#N/A</v>
      </c>
      <c r="H82" s="104"/>
      <c r="I82" s="105"/>
      <c r="J82" s="65"/>
    </row>
    <row r="83" spans="1:10" s="22" customFormat="1" ht="10.050000000000001" customHeight="1" x14ac:dyDescent="0.3">
      <c r="A83" s="63"/>
      <c r="B83" s="66"/>
      <c r="C83" s="67"/>
      <c r="D83" s="67"/>
      <c r="E83" s="67"/>
      <c r="F83" s="67"/>
      <c r="G83" s="67"/>
      <c r="H83" s="68"/>
      <c r="I83" s="68"/>
      <c r="J83" s="65"/>
    </row>
    <row r="84" spans="1:10" s="22" customFormat="1" x14ac:dyDescent="0.3">
      <c r="A84" s="63">
        <v>3</v>
      </c>
      <c r="B84" s="101"/>
      <c r="C84" s="102"/>
      <c r="D84" s="102"/>
      <c r="E84" s="102"/>
      <c r="F84" s="103"/>
      <c r="G84" s="64" t="e">
        <f>VLOOKUP($B84, metrics, 2, 0)</f>
        <v>#N/A</v>
      </c>
      <c r="H84" s="104"/>
      <c r="I84" s="105"/>
      <c r="J84" s="65"/>
    </row>
    <row r="85" spans="1:10" s="22" customFormat="1" ht="10.050000000000001" customHeight="1" x14ac:dyDescent="0.3">
      <c r="A85" s="63"/>
      <c r="B85" s="66"/>
      <c r="C85" s="67"/>
      <c r="D85" s="67"/>
      <c r="E85" s="67"/>
      <c r="F85" s="67"/>
      <c r="G85" s="67"/>
      <c r="H85" s="68"/>
      <c r="I85" s="68"/>
      <c r="J85" s="65"/>
    </row>
    <row r="86" spans="1:10" s="22" customFormat="1" x14ac:dyDescent="0.3">
      <c r="A86" s="63">
        <v>4</v>
      </c>
      <c r="B86" s="101"/>
      <c r="C86" s="102"/>
      <c r="D86" s="102"/>
      <c r="E86" s="102"/>
      <c r="F86" s="103"/>
      <c r="G86" s="64" t="e">
        <f>VLOOKUP($B86, metrics, 2, 0)</f>
        <v>#N/A</v>
      </c>
      <c r="H86" s="104"/>
      <c r="I86" s="105"/>
      <c r="J86" s="65"/>
    </row>
    <row r="87" spans="1:10" s="22" customFormat="1" ht="10.050000000000001" customHeight="1" x14ac:dyDescent="0.3">
      <c r="A87" s="63"/>
      <c r="B87" s="66"/>
      <c r="C87" s="67"/>
      <c r="D87" s="67"/>
      <c r="E87" s="67"/>
      <c r="F87" s="67"/>
      <c r="G87" s="67"/>
      <c r="H87" s="68"/>
      <c r="I87" s="68"/>
      <c r="J87" s="65"/>
    </row>
    <row r="88" spans="1:10" s="22" customFormat="1" x14ac:dyDescent="0.3">
      <c r="A88" s="63">
        <v>5</v>
      </c>
      <c r="B88" s="101"/>
      <c r="C88" s="102"/>
      <c r="D88" s="102"/>
      <c r="E88" s="102"/>
      <c r="F88" s="103"/>
      <c r="G88" s="64" t="e">
        <f>VLOOKUP($B88, metrics, 2, 0)</f>
        <v>#N/A</v>
      </c>
      <c r="H88" s="104"/>
      <c r="I88" s="105"/>
      <c r="J88" s="65"/>
    </row>
    <row r="89" spans="1:10" s="22" customFormat="1" ht="10.050000000000001" customHeight="1" x14ac:dyDescent="0.3">
      <c r="A89" s="63"/>
      <c r="B89" s="66"/>
      <c r="C89" s="67"/>
      <c r="D89" s="67"/>
      <c r="E89" s="67"/>
      <c r="F89" s="67"/>
      <c r="G89" s="67"/>
      <c r="H89" s="68"/>
      <c r="I89" s="68"/>
      <c r="J89" s="65"/>
    </row>
    <row r="90" spans="1:10" s="22" customFormat="1" x14ac:dyDescent="0.3">
      <c r="A90" s="63">
        <v>6</v>
      </c>
      <c r="B90" s="101"/>
      <c r="C90" s="102"/>
      <c r="D90" s="102"/>
      <c r="E90" s="102"/>
      <c r="F90" s="103"/>
      <c r="G90" s="64" t="e">
        <f>VLOOKUP($B90, metrics, 2, 0)</f>
        <v>#N/A</v>
      </c>
      <c r="H90" s="104"/>
      <c r="I90" s="105"/>
      <c r="J90" s="65"/>
    </row>
    <row r="91" spans="1:10" ht="10.050000000000001" customHeight="1" x14ac:dyDescent="0.3">
      <c r="A91" s="42"/>
      <c r="B91" s="43"/>
      <c r="C91" s="42"/>
      <c r="D91" s="42"/>
      <c r="E91" s="42"/>
      <c r="F91" s="42"/>
      <c r="G91" s="42"/>
      <c r="H91" s="42"/>
      <c r="I91" s="42"/>
      <c r="J91" s="44"/>
    </row>
  </sheetData>
  <sheetProtection algorithmName="SHA-512" hashValue="VnELEf/EZqUyPgqXmS2Cs0vdsPWnxGg0gxrdZA2pQ4d7/KI6uNIx8gUqpnMNltD9gMvb1ZqcoCDoGdW3QYSBsg==" saltValue="TmswDG0WMLXdumB+yXYnyA==" spinCount="100000" sheet="1" objects="1" scenarios="1"/>
  <mergeCells count="56">
    <mergeCell ref="A2:I2"/>
    <mergeCell ref="E11:F11"/>
    <mergeCell ref="E15:F15"/>
    <mergeCell ref="E19:F19"/>
    <mergeCell ref="B55:C56"/>
    <mergeCell ref="B3:C3"/>
    <mergeCell ref="D3:F3"/>
    <mergeCell ref="B6:I6"/>
    <mergeCell ref="B28:I28"/>
    <mergeCell ref="A5:I5"/>
    <mergeCell ref="C40:F40"/>
    <mergeCell ref="C42:F42"/>
    <mergeCell ref="C44:F44"/>
    <mergeCell ref="C46:F46"/>
    <mergeCell ref="E23:F23"/>
    <mergeCell ref="A27:I27"/>
    <mergeCell ref="C30:F30"/>
    <mergeCell ref="C32:F32"/>
    <mergeCell ref="C34:F34"/>
    <mergeCell ref="C36:F36"/>
    <mergeCell ref="C38:F38"/>
    <mergeCell ref="B66:F66"/>
    <mergeCell ref="H66:I66"/>
    <mergeCell ref="B68:F68"/>
    <mergeCell ref="H68:I68"/>
    <mergeCell ref="A48:I48"/>
    <mergeCell ref="B49:I49"/>
    <mergeCell ref="B64:F64"/>
    <mergeCell ref="B63:F63"/>
    <mergeCell ref="H63:I63"/>
    <mergeCell ref="H64:I64"/>
    <mergeCell ref="B58:C61"/>
    <mergeCell ref="B80:F80"/>
    <mergeCell ref="H80:I80"/>
    <mergeCell ref="B70:F70"/>
    <mergeCell ref="H70:I70"/>
    <mergeCell ref="B72:F72"/>
    <mergeCell ref="H72:I72"/>
    <mergeCell ref="B74:F74"/>
    <mergeCell ref="H74:I74"/>
    <mergeCell ref="B88:F88"/>
    <mergeCell ref="H88:I88"/>
    <mergeCell ref="B90:F90"/>
    <mergeCell ref="H90:I90"/>
    <mergeCell ref="E51:I53"/>
    <mergeCell ref="B51:C53"/>
    <mergeCell ref="B82:F82"/>
    <mergeCell ref="H82:I82"/>
    <mergeCell ref="B84:F84"/>
    <mergeCell ref="H84:I84"/>
    <mergeCell ref="B86:F86"/>
    <mergeCell ref="H86:I86"/>
    <mergeCell ref="A76:I76"/>
    <mergeCell ref="B77:I77"/>
    <mergeCell ref="B79:F79"/>
    <mergeCell ref="H79:I79"/>
  </mergeCells>
  <dataValidations count="7">
    <dataValidation type="list" allowBlank="1" showInputMessage="1" showErrorMessage="1" sqref="B64:F64 B66:F66 B68:F68 B70:F70 B72:F72 B74:F74" xr:uid="{D1C4BBF3-4BBE-42BD-88D9-AF1A870BAED8}">
      <formula1>descriptions</formula1>
    </dataValidation>
    <dataValidation type="list" allowBlank="1" showInputMessage="1" showErrorMessage="1" sqref="H64:I64 H66:I66 H68:I68 H70:I70 H72:I72 H74:I74 H80:I80 H82:I82 H84:I84 H86:I86 H88:I88 H90:I90" xr:uid="{817C6A64-1068-4CBA-ADE1-B4A18219AFAA}">
      <formula1>INDIRECT($G64)</formula1>
    </dataValidation>
    <dataValidation type="list" allowBlank="1" showInputMessage="1" showErrorMessage="1" sqref="E55" xr:uid="{7ADD3C1D-B9BE-4F0B-AE7D-B07A9F765873}">
      <formula1>"40%, 50%, 60%, 70%, 80%"</formula1>
    </dataValidation>
    <dataValidation type="list" allowBlank="1" showInputMessage="1" showErrorMessage="1" sqref="B80:F80 B82:F82 B84:F84 B88:F88 B86:F86 B90:F90" xr:uid="{1CC9FDF7-2DC8-46F2-9A6E-F1127AE85736}">
      <formula1>preferred_criteria</formula1>
    </dataValidation>
    <dataValidation type="list" allowBlank="1" showInputMessage="1" showErrorMessage="1" sqref="C32:F32 C46:F46 C44:F44 C42:F42 C40:F40 C38:F38 C36:F36 C34:F34" xr:uid="{348DCD0E-4848-4531-8B43-035E420F7CA8}">
      <formula1>$P$2:$P$11</formula1>
    </dataValidation>
    <dataValidation type="list" allowBlank="1" showInputMessage="1" showErrorMessage="1" sqref="E9 H25 E25 B25 H21 E21 B21 H17 E17 B17 H13 E13 B13 H9" xr:uid="{4C51E460-E7B4-4F88-902C-ED15ADF1B430}">
      <formula1>$L$2:$L$44</formula1>
    </dataValidation>
    <dataValidation type="list" allowBlank="1" showInputMessage="1" showErrorMessage="1" sqref="F9 I25 F25 C25 I21 F21 C21 I17 F17 C17 I13 F13 C13 I9" xr:uid="{5727848F-4AAB-4BCC-BDB1-1407D6CAFDB2}">
      <formula1>$N$2:$N$6</formula1>
    </dataValidation>
  </dataValidations>
  <pageMargins left="0.7" right="0.7" top="0.75" bottom="0.75" header="0.3" footer="0.3"/>
  <pageSetup orientation="portrait" r:id="rId1"/>
  <extLst>
    <ext xmlns:x14="http://schemas.microsoft.com/office/spreadsheetml/2009/9/main" uri="{CCE6A557-97BC-4b89-ADB6-D9C93CAAB3DF}">
      <x14:dataValidations xmlns:xm="http://schemas.microsoft.com/office/excel/2006/main" count="4">
        <x14:dataValidation type="list" allowBlank="1" showInputMessage="1" showErrorMessage="1" xr:uid="{54F0A7CF-5061-4DB2-8CA8-48F35127E165}">
          <x14:formula1>
            <xm:f>choices!$K$2:$K$44</xm:f>
          </x14:formula1>
          <xm:sqref>B9</xm:sqref>
        </x14:dataValidation>
        <x14:dataValidation type="list" allowBlank="1" showInputMessage="1" showErrorMessage="1" xr:uid="{A1F9454E-00A1-4885-996B-CC2E4A3C47DE}">
          <x14:formula1>
            <xm:f>choices!$M$2:$M$6</xm:f>
          </x14:formula1>
          <xm:sqref>C9</xm:sqref>
        </x14:dataValidation>
        <x14:dataValidation type="list" allowBlank="1" showInputMessage="1" showErrorMessage="1" xr:uid="{91A9DF13-95C1-4650-A88E-FCB1276FE169}">
          <x14:formula1>
            <xm:f>choices!$I$2:$I$15</xm:f>
          </x14:formula1>
          <xm:sqref>D3:F3 E51:I53</xm:sqref>
        </x14:dataValidation>
        <x14:dataValidation type="list" allowBlank="1" showInputMessage="1" showErrorMessage="1" xr:uid="{8BC5A688-8F4F-4BC9-B612-1C8C7E523BBA}">
          <x14:formula1>
            <xm:f>choices!$P$2:$P$11</xm:f>
          </x14:formula1>
          <xm:sqref>C30:F30</xm:sqref>
        </x14:dataValidation>
      </x14:dataValidations>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D3C33E9-574F-4386-AAFC-CCB295432E29}">
  <sheetPr codeName="Sheet2"/>
  <dimension ref="A1:AB44"/>
  <sheetViews>
    <sheetView showGridLines="0" topLeftCell="C1" workbookViewId="0">
      <selection activeCell="M8" sqref="M8"/>
    </sheetView>
  </sheetViews>
  <sheetFormatPr defaultRowHeight="14.4" x14ac:dyDescent="0.3"/>
  <cols>
    <col min="1" max="1" width="22.6640625" bestFit="1" customWidth="1"/>
    <col min="2" max="2" width="2.44140625" customWidth="1"/>
    <col min="3" max="3" width="25.109375" customWidth="1"/>
    <col min="4" max="4" width="2.5546875" customWidth="1"/>
    <col min="5" max="5" width="16.33203125" customWidth="1"/>
    <col min="6" max="6" width="2.6640625" customWidth="1"/>
    <col min="7" max="7" width="19" bestFit="1" customWidth="1"/>
    <col min="8" max="8" width="3.33203125" customWidth="1"/>
    <col min="9" max="9" width="20.88671875" customWidth="1"/>
    <col min="10" max="10" width="3.6640625" customWidth="1"/>
    <col min="11" max="11" width="11.88671875" bestFit="1" customWidth="1"/>
    <col min="12" max="12" width="3" customWidth="1"/>
    <col min="13" max="13" width="19.44140625" bestFit="1" customWidth="1"/>
    <col min="14" max="14" width="6.6640625" style="5" customWidth="1"/>
    <col min="15" max="15" width="3.5546875" customWidth="1"/>
    <col min="16" max="16" width="12.88671875" bestFit="1" customWidth="1"/>
    <col min="17" max="17" width="3.5546875" customWidth="1"/>
    <col min="18" max="18" width="47.88671875" style="5" customWidth="1"/>
    <col min="19" max="19" width="25" style="5" customWidth="1"/>
    <col min="20" max="20" width="3.5546875" style="5" customWidth="1"/>
    <col min="21" max="21" width="22" style="1" customWidth="1"/>
    <col min="22" max="22" width="39.33203125" style="1" customWidth="1"/>
    <col min="23" max="23" width="23" style="1" customWidth="1"/>
    <col min="24" max="24" width="23.88671875" customWidth="1"/>
    <col min="25" max="25" width="22.88671875" customWidth="1"/>
    <col min="26" max="26" width="21.21875" customWidth="1"/>
    <col min="27" max="27" width="25.88671875" customWidth="1"/>
  </cols>
  <sheetData>
    <row r="1" spans="1:28" ht="28.8" customHeight="1" x14ac:dyDescent="0.3">
      <c r="A1" s="3" t="s">
        <v>6</v>
      </c>
      <c r="C1" s="3" t="s">
        <v>30</v>
      </c>
      <c r="E1" s="3" t="s">
        <v>15</v>
      </c>
      <c r="G1" s="3" t="s">
        <v>15</v>
      </c>
      <c r="I1" s="3" t="s">
        <v>70</v>
      </c>
      <c r="K1" s="3" t="s">
        <v>79</v>
      </c>
      <c r="M1" s="3" t="s">
        <v>123</v>
      </c>
      <c r="N1" s="3"/>
      <c r="P1" s="9" t="s">
        <v>146</v>
      </c>
      <c r="R1" s="21" t="s">
        <v>214</v>
      </c>
      <c r="S1" s="21" t="s">
        <v>213</v>
      </c>
      <c r="U1" s="128" t="s">
        <v>156</v>
      </c>
      <c r="V1" s="128"/>
      <c r="W1" s="128"/>
      <c r="X1" s="128"/>
      <c r="Y1" s="128"/>
      <c r="Z1" s="128"/>
      <c r="AA1" s="128"/>
    </row>
    <row r="2" spans="1:28" x14ac:dyDescent="0.3">
      <c r="A2" s="7" t="s">
        <v>196</v>
      </c>
      <c r="C2" s="2" t="s">
        <v>31</v>
      </c>
      <c r="E2" s="2" t="s">
        <v>41</v>
      </c>
      <c r="G2" s="2" t="s">
        <v>42</v>
      </c>
      <c r="I2" s="2" t="s">
        <v>58</v>
      </c>
      <c r="K2" s="2" t="s">
        <v>80</v>
      </c>
      <c r="M2" s="2" t="s">
        <v>124</v>
      </c>
      <c r="N2" s="2">
        <v>5</v>
      </c>
      <c r="P2" s="6" t="s">
        <v>140</v>
      </c>
      <c r="R2" s="16" t="s">
        <v>158</v>
      </c>
      <c r="S2" s="16" t="s">
        <v>157</v>
      </c>
    </row>
    <row r="3" spans="1:28" x14ac:dyDescent="0.3">
      <c r="A3" s="7" t="s">
        <v>179</v>
      </c>
      <c r="C3" s="2" t="s">
        <v>32</v>
      </c>
      <c r="E3" s="2" t="s">
        <v>40</v>
      </c>
      <c r="G3" s="2" t="s">
        <v>43</v>
      </c>
      <c r="I3" s="2" t="s">
        <v>57</v>
      </c>
      <c r="K3" s="2" t="s">
        <v>81</v>
      </c>
      <c r="M3" s="2" t="s">
        <v>125</v>
      </c>
      <c r="N3" s="2">
        <v>4</v>
      </c>
      <c r="P3" s="10" t="s">
        <v>147</v>
      </c>
      <c r="R3" s="16" t="s">
        <v>161</v>
      </c>
      <c r="S3" s="16" t="s">
        <v>159</v>
      </c>
      <c r="U3" s="12" t="s">
        <v>157</v>
      </c>
      <c r="V3" s="12" t="s">
        <v>159</v>
      </c>
      <c r="W3" s="12" t="s">
        <v>160</v>
      </c>
      <c r="X3" s="13" t="s">
        <v>163</v>
      </c>
      <c r="Y3" s="13" t="s">
        <v>165</v>
      </c>
      <c r="Z3" s="13" t="s">
        <v>167</v>
      </c>
      <c r="AA3" s="13" t="s">
        <v>169</v>
      </c>
      <c r="AB3" s="13" t="s">
        <v>217</v>
      </c>
    </row>
    <row r="4" spans="1:28" ht="43.2" x14ac:dyDescent="0.3">
      <c r="A4" s="7" t="s">
        <v>180</v>
      </c>
      <c r="C4" s="2" t="s">
        <v>33</v>
      </c>
      <c r="G4" s="2" t="s">
        <v>44</v>
      </c>
      <c r="I4" s="2" t="s">
        <v>67</v>
      </c>
      <c r="K4" s="2" t="s">
        <v>82</v>
      </c>
      <c r="M4" s="2" t="s">
        <v>126</v>
      </c>
      <c r="N4" s="2">
        <v>3</v>
      </c>
      <c r="P4" s="10" t="s">
        <v>141</v>
      </c>
      <c r="R4" s="16" t="s">
        <v>162</v>
      </c>
      <c r="S4" s="16" t="s">
        <v>160</v>
      </c>
      <c r="U4" s="14" t="s">
        <v>158</v>
      </c>
      <c r="V4" s="14" t="s">
        <v>161</v>
      </c>
      <c r="W4" s="14" t="s">
        <v>162</v>
      </c>
      <c r="X4" s="4" t="s">
        <v>164</v>
      </c>
      <c r="Y4" s="4" t="s">
        <v>166</v>
      </c>
      <c r="Z4" s="4" t="s">
        <v>168</v>
      </c>
      <c r="AA4" s="4" t="s">
        <v>170</v>
      </c>
      <c r="AB4" s="25" t="s">
        <v>220</v>
      </c>
    </row>
    <row r="5" spans="1:28" x14ac:dyDescent="0.3">
      <c r="A5" s="7" t="s">
        <v>23</v>
      </c>
      <c r="C5" s="2" t="s">
        <v>34</v>
      </c>
      <c r="G5" s="2" t="s">
        <v>45</v>
      </c>
      <c r="I5" s="2" t="s">
        <v>59</v>
      </c>
      <c r="K5" s="2" t="s">
        <v>83</v>
      </c>
      <c r="M5" s="2" t="s">
        <v>127</v>
      </c>
      <c r="N5" s="2">
        <v>2</v>
      </c>
      <c r="P5" s="6" t="s">
        <v>142</v>
      </c>
      <c r="R5" s="20" t="s">
        <v>164</v>
      </c>
      <c r="S5" s="20" t="s">
        <v>163</v>
      </c>
      <c r="U5" s="15" t="s">
        <v>171</v>
      </c>
      <c r="V5" s="15" t="s">
        <v>24</v>
      </c>
      <c r="W5" s="15" t="s">
        <v>31</v>
      </c>
      <c r="X5" s="19" t="s">
        <v>200</v>
      </c>
      <c r="Y5" s="17" t="s">
        <v>203</v>
      </c>
      <c r="Z5" s="17" t="s">
        <v>207</v>
      </c>
      <c r="AA5" s="17" t="s">
        <v>210</v>
      </c>
      <c r="AB5" s="25" t="s">
        <v>218</v>
      </c>
    </row>
    <row r="6" spans="1:28" x14ac:dyDescent="0.3">
      <c r="A6" s="7" t="s">
        <v>181</v>
      </c>
      <c r="C6" s="2" t="s">
        <v>35</v>
      </c>
      <c r="G6" s="2" t="s">
        <v>46</v>
      </c>
      <c r="I6" s="2" t="s">
        <v>61</v>
      </c>
      <c r="K6" s="2" t="s">
        <v>84</v>
      </c>
      <c r="M6" s="2" t="s">
        <v>128</v>
      </c>
      <c r="N6" s="2">
        <v>1</v>
      </c>
      <c r="P6" s="6" t="s">
        <v>148</v>
      </c>
      <c r="R6" s="20" t="s">
        <v>215</v>
      </c>
      <c r="S6" s="20" t="s">
        <v>165</v>
      </c>
      <c r="U6" s="15" t="s">
        <v>172</v>
      </c>
      <c r="V6" s="15" t="s">
        <v>29</v>
      </c>
      <c r="W6" s="15" t="s">
        <v>32</v>
      </c>
      <c r="X6" s="19" t="s">
        <v>201</v>
      </c>
      <c r="Y6" s="17" t="s">
        <v>205</v>
      </c>
      <c r="Z6" s="17" t="s">
        <v>208</v>
      </c>
      <c r="AA6" s="17" t="s">
        <v>211</v>
      </c>
      <c r="AB6" s="8" t="s">
        <v>219</v>
      </c>
    </row>
    <row r="7" spans="1:28" ht="28.8" x14ac:dyDescent="0.3">
      <c r="A7" s="7" t="s">
        <v>182</v>
      </c>
      <c r="C7" s="2" t="s">
        <v>36</v>
      </c>
      <c r="G7" s="2" t="s">
        <v>47</v>
      </c>
      <c r="I7" s="2" t="s">
        <v>69</v>
      </c>
      <c r="K7" s="2" t="s">
        <v>85</v>
      </c>
      <c r="P7" s="6" t="s">
        <v>143</v>
      </c>
      <c r="R7" s="20" t="s">
        <v>168</v>
      </c>
      <c r="S7" s="20" t="s">
        <v>167</v>
      </c>
      <c r="U7" s="15" t="s">
        <v>173</v>
      </c>
      <c r="V7" s="15" t="s">
        <v>21</v>
      </c>
      <c r="W7" s="15" t="s">
        <v>35</v>
      </c>
      <c r="X7" s="19" t="s">
        <v>202</v>
      </c>
      <c r="Y7" s="17" t="s">
        <v>204</v>
      </c>
      <c r="Z7" s="17" t="s">
        <v>209</v>
      </c>
      <c r="AA7" s="17" t="s">
        <v>212</v>
      </c>
    </row>
    <row r="8" spans="1:28" ht="28.8" x14ac:dyDescent="0.3">
      <c r="A8" s="7" t="s">
        <v>20</v>
      </c>
      <c r="C8" s="2" t="s">
        <v>37</v>
      </c>
      <c r="G8" s="2" t="s">
        <v>48</v>
      </c>
      <c r="I8" s="2" t="s">
        <v>62</v>
      </c>
      <c r="K8" s="2" t="s">
        <v>86</v>
      </c>
      <c r="P8" s="6" t="s">
        <v>149</v>
      </c>
      <c r="R8" s="20" t="s">
        <v>170</v>
      </c>
      <c r="S8" s="20" t="s">
        <v>169</v>
      </c>
      <c r="U8" s="15" t="s">
        <v>174</v>
      </c>
      <c r="V8" s="15" t="s">
        <v>28</v>
      </c>
      <c r="W8" s="15" t="s">
        <v>199</v>
      </c>
      <c r="X8" s="18"/>
      <c r="Y8" s="17" t="s">
        <v>206</v>
      </c>
      <c r="Z8" s="18"/>
      <c r="AA8" s="18"/>
    </row>
    <row r="9" spans="1:28" x14ac:dyDescent="0.3">
      <c r="A9" s="7" t="s">
        <v>183</v>
      </c>
      <c r="C9" s="2" t="s">
        <v>38</v>
      </c>
      <c r="I9" s="2" t="s">
        <v>60</v>
      </c>
      <c r="K9" s="2" t="s">
        <v>87</v>
      </c>
      <c r="P9" s="6" t="s">
        <v>150</v>
      </c>
      <c r="R9" s="2" t="s">
        <v>220</v>
      </c>
      <c r="S9" s="20" t="s">
        <v>217</v>
      </c>
      <c r="U9" s="15" t="s">
        <v>175</v>
      </c>
      <c r="V9" s="15" t="s">
        <v>26</v>
      </c>
      <c r="W9" s="15" t="s">
        <v>198</v>
      </c>
      <c r="X9" s="18"/>
      <c r="Y9" s="18"/>
      <c r="Z9" s="18"/>
      <c r="AA9" s="18"/>
    </row>
    <row r="10" spans="1:28" x14ac:dyDescent="0.3">
      <c r="A10" s="7" t="s">
        <v>27</v>
      </c>
      <c r="I10" s="2" t="s">
        <v>63</v>
      </c>
      <c r="K10" s="2" t="s">
        <v>88</v>
      </c>
      <c r="P10" s="6" t="s">
        <v>144</v>
      </c>
      <c r="U10" s="15" t="s">
        <v>176</v>
      </c>
      <c r="V10" s="15" t="s">
        <v>22</v>
      </c>
      <c r="W10" s="15" t="s">
        <v>38</v>
      </c>
      <c r="X10" s="18"/>
      <c r="Y10" s="18"/>
      <c r="Z10" s="18"/>
      <c r="AA10" s="18"/>
    </row>
    <row r="11" spans="1:28" x14ac:dyDescent="0.3">
      <c r="A11" s="7" t="s">
        <v>184</v>
      </c>
      <c r="I11" s="2" t="s">
        <v>56</v>
      </c>
      <c r="K11" s="2" t="s">
        <v>89</v>
      </c>
      <c r="P11" s="6" t="s">
        <v>145</v>
      </c>
      <c r="U11" s="15" t="s">
        <v>177</v>
      </c>
      <c r="V11" s="15" t="s">
        <v>50</v>
      </c>
      <c r="W11" s="11"/>
      <c r="X11" s="18"/>
      <c r="Y11" s="18"/>
      <c r="Z11" s="18"/>
      <c r="AA11" s="18"/>
    </row>
    <row r="12" spans="1:28" x14ac:dyDescent="0.3">
      <c r="A12" s="69" t="s">
        <v>225</v>
      </c>
      <c r="I12" s="2" t="s">
        <v>68</v>
      </c>
      <c r="K12" s="2" t="s">
        <v>90</v>
      </c>
      <c r="R12" s="26"/>
      <c r="S12" s="27"/>
      <c r="U12" s="15" t="s">
        <v>178</v>
      </c>
      <c r="V12" s="11"/>
      <c r="W12" s="11"/>
      <c r="X12" s="18"/>
      <c r="Y12" s="18"/>
      <c r="Z12" s="18"/>
      <c r="AA12" s="18"/>
    </row>
    <row r="13" spans="1:28" x14ac:dyDescent="0.3">
      <c r="A13" s="7" t="s">
        <v>185</v>
      </c>
      <c r="I13" s="2" t="s">
        <v>65</v>
      </c>
      <c r="K13" s="2" t="s">
        <v>91</v>
      </c>
      <c r="R13" s="27"/>
      <c r="S13" s="27"/>
    </row>
    <row r="14" spans="1:28" x14ac:dyDescent="0.3">
      <c r="A14" s="7" t="s">
        <v>186</v>
      </c>
      <c r="I14" s="2" t="s">
        <v>66</v>
      </c>
      <c r="K14" s="2" t="s">
        <v>92</v>
      </c>
      <c r="R14" s="27"/>
      <c r="S14" s="27"/>
    </row>
    <row r="15" spans="1:28" x14ac:dyDescent="0.3">
      <c r="A15" s="7" t="s">
        <v>187</v>
      </c>
      <c r="I15" s="2" t="s">
        <v>64</v>
      </c>
      <c r="K15" s="2" t="s">
        <v>93</v>
      </c>
      <c r="R15" s="27"/>
      <c r="S15" s="27"/>
    </row>
    <row r="16" spans="1:28" x14ac:dyDescent="0.3">
      <c r="A16" s="7" t="s">
        <v>188</v>
      </c>
      <c r="K16" s="2" t="s">
        <v>94</v>
      </c>
      <c r="R16" s="27"/>
      <c r="S16" s="27"/>
    </row>
    <row r="17" spans="1:19" x14ac:dyDescent="0.3">
      <c r="A17" s="7" t="s">
        <v>189</v>
      </c>
      <c r="K17" s="2" t="s">
        <v>95</v>
      </c>
      <c r="R17" s="27"/>
      <c r="S17" s="27"/>
    </row>
    <row r="18" spans="1:19" x14ac:dyDescent="0.3">
      <c r="A18" s="7" t="s">
        <v>25</v>
      </c>
      <c r="K18" s="2" t="s">
        <v>96</v>
      </c>
    </row>
    <row r="19" spans="1:19" x14ac:dyDescent="0.3">
      <c r="A19" s="7" t="s">
        <v>190</v>
      </c>
      <c r="K19" s="2" t="s">
        <v>97</v>
      </c>
    </row>
    <row r="20" spans="1:19" x14ac:dyDescent="0.3">
      <c r="A20" s="7" t="s">
        <v>191</v>
      </c>
      <c r="K20" s="2" t="s">
        <v>98</v>
      </c>
    </row>
    <row r="21" spans="1:19" x14ac:dyDescent="0.3">
      <c r="A21" s="7" t="s">
        <v>192</v>
      </c>
      <c r="K21" s="2" t="s">
        <v>99</v>
      </c>
    </row>
    <row r="22" spans="1:19" x14ac:dyDescent="0.3">
      <c r="A22" s="7" t="s">
        <v>193</v>
      </c>
      <c r="K22" s="2" t="s">
        <v>100</v>
      </c>
    </row>
    <row r="23" spans="1:19" x14ac:dyDescent="0.3">
      <c r="A23" s="7" t="s">
        <v>194</v>
      </c>
      <c r="K23" s="2" t="s">
        <v>101</v>
      </c>
    </row>
    <row r="24" spans="1:19" x14ac:dyDescent="0.3">
      <c r="A24" s="7" t="s">
        <v>195</v>
      </c>
      <c r="K24" s="2" t="s">
        <v>102</v>
      </c>
    </row>
    <row r="25" spans="1:19" x14ac:dyDescent="0.3">
      <c r="A25" s="8" t="s">
        <v>197</v>
      </c>
      <c r="K25" s="2" t="s">
        <v>103</v>
      </c>
    </row>
    <row r="26" spans="1:19" x14ac:dyDescent="0.3">
      <c r="A26" s="8" t="s">
        <v>197</v>
      </c>
      <c r="K26" s="2" t="s">
        <v>104</v>
      </c>
    </row>
    <row r="27" spans="1:19" x14ac:dyDescent="0.3">
      <c r="A27" s="8" t="s">
        <v>197</v>
      </c>
      <c r="K27" s="2" t="s">
        <v>105</v>
      </c>
    </row>
    <row r="28" spans="1:19" x14ac:dyDescent="0.3">
      <c r="A28" s="8" t="s">
        <v>197</v>
      </c>
      <c r="K28" s="2" t="s">
        <v>106</v>
      </c>
    </row>
    <row r="29" spans="1:19" x14ac:dyDescent="0.3">
      <c r="K29" s="2" t="s">
        <v>107</v>
      </c>
    </row>
    <row r="30" spans="1:19" x14ac:dyDescent="0.3">
      <c r="K30" s="2" t="s">
        <v>108</v>
      </c>
    </row>
    <row r="31" spans="1:19" x14ac:dyDescent="0.3">
      <c r="K31" s="2" t="s">
        <v>109</v>
      </c>
    </row>
    <row r="32" spans="1:19" x14ac:dyDescent="0.3">
      <c r="K32" s="2" t="s">
        <v>110</v>
      </c>
    </row>
    <row r="33" spans="11:11" x14ac:dyDescent="0.3">
      <c r="K33" s="2" t="s">
        <v>111</v>
      </c>
    </row>
    <row r="34" spans="11:11" x14ac:dyDescent="0.3">
      <c r="K34" s="2" t="s">
        <v>112</v>
      </c>
    </row>
    <row r="35" spans="11:11" x14ac:dyDescent="0.3">
      <c r="K35" s="2" t="s">
        <v>113</v>
      </c>
    </row>
    <row r="36" spans="11:11" x14ac:dyDescent="0.3">
      <c r="K36" s="2" t="s">
        <v>114</v>
      </c>
    </row>
    <row r="37" spans="11:11" x14ac:dyDescent="0.3">
      <c r="K37" s="2" t="s">
        <v>115</v>
      </c>
    </row>
    <row r="38" spans="11:11" x14ac:dyDescent="0.3">
      <c r="K38" s="2" t="s">
        <v>116</v>
      </c>
    </row>
    <row r="39" spans="11:11" x14ac:dyDescent="0.3">
      <c r="K39" s="2" t="s">
        <v>117</v>
      </c>
    </row>
    <row r="40" spans="11:11" x14ac:dyDescent="0.3">
      <c r="K40" s="2" t="s">
        <v>118</v>
      </c>
    </row>
    <row r="41" spans="11:11" x14ac:dyDescent="0.3">
      <c r="K41" s="2" t="s">
        <v>119</v>
      </c>
    </row>
    <row r="42" spans="11:11" x14ac:dyDescent="0.3">
      <c r="K42" s="2" t="s">
        <v>120</v>
      </c>
    </row>
    <row r="43" spans="11:11" x14ac:dyDescent="0.3">
      <c r="K43" s="2" t="s">
        <v>121</v>
      </c>
    </row>
    <row r="44" spans="11:11" x14ac:dyDescent="0.3">
      <c r="K44" s="2" t="s">
        <v>122</v>
      </c>
    </row>
  </sheetData>
  <sortState ref="A3:A24">
    <sortCondition ref="A2"/>
  </sortState>
  <mergeCells count="1">
    <mergeCell ref="U1:AA1"/>
  </mergeCells>
  <pageMargins left="0.7" right="0.7" top="0.75" bottom="0.75" header="0.3" footer="0.3"/>
  <pageSetup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4</vt:i4>
      </vt:variant>
      <vt:variant>
        <vt:lpstr>Named Ranges</vt:lpstr>
      </vt:variant>
      <vt:variant>
        <vt:i4>14</vt:i4>
      </vt:variant>
    </vt:vector>
  </HeadingPairs>
  <TitlesOfParts>
    <vt:vector size="18" baseType="lpstr">
      <vt:lpstr>Project Details</vt:lpstr>
      <vt:lpstr>Surveyor</vt:lpstr>
      <vt:lpstr>Template</vt:lpstr>
      <vt:lpstr>choices</vt:lpstr>
      <vt:lpstr>capi_software</vt:lpstr>
      <vt:lpstr>categories</vt:lpstr>
      <vt:lpstr>descriptions</vt:lpstr>
      <vt:lpstr>education</vt:lpstr>
      <vt:lpstr>gender</vt:lpstr>
      <vt:lpstr>interview_mode</vt:lpstr>
      <vt:lpstr>metrics</vt:lpstr>
      <vt:lpstr>paper_or_capi</vt:lpstr>
      <vt:lpstr>preferred_criteria</vt:lpstr>
      <vt:lpstr>project</vt:lpstr>
      <vt:lpstr>project_details</vt:lpstr>
      <vt:lpstr>projects</vt:lpstr>
      <vt:lpstr>quantitative_or_qualitative</vt:lpstr>
      <vt:lpstr>researcharea</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Ishamial Boako</dc:creator>
  <cp:lastModifiedBy>Ishamial Boako</cp:lastModifiedBy>
  <dcterms:created xsi:type="dcterms:W3CDTF">2018-11-21T12:07:13Z</dcterms:created>
  <dcterms:modified xsi:type="dcterms:W3CDTF">2019-01-02T07:54:10Z</dcterms:modified>
</cp:coreProperties>
</file>