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
    </mc:Choice>
  </mc:AlternateContent>
  <xr:revisionPtr revIDLastSave="0" documentId="10_ncr:100000_{23B098E9-BCC3-4C75-AC44-48CEB01E1500}" xr6:coauthVersionLast="31" xr6:coauthVersionMax="38" xr10:uidLastSave="{00000000-0000-0000-0000-000000000000}"/>
  <bookViews>
    <workbookView xWindow="0" yWindow="0" windowWidth="23040" windowHeight="9144" activeTab="3" xr2:uid="{A2D185DA-C0DB-42B3-B822-8F0D46832F4B}"/>
  </bookViews>
  <sheets>
    <sheet name="Project Details" sheetId="1" r:id="rId1"/>
    <sheet name="Surveyor" sheetId="8" r:id="rId2"/>
    <sheet name="Template" sheetId="3" state="hidden" r:id="rId3"/>
    <sheet name="choices" sheetId="2" r:id="rId4"/>
  </sheets>
  <definedNames>
    <definedName name="capi_software">choices!$Z$5:$Z$8</definedName>
    <definedName name="categories">choices!$S$2:$S$10</definedName>
    <definedName name="descriptions">choices!$R$2:$R$10</definedName>
    <definedName name="education">choices!$U$5:$U$12</definedName>
    <definedName name="education_val">choices!$U$3:$V$12</definedName>
    <definedName name="gender">choices!$AC$5:$AC$6</definedName>
    <definedName name="interview_mode">choices!$AA$5:$AA$6</definedName>
    <definedName name="interview_mode_full">choices!$AA$5:$AA$7</definedName>
    <definedName name="metrics">choices!$R$2:$S$10</definedName>
    <definedName name="paper_or_capi">choices!$Y$5:$Y$6</definedName>
    <definedName name="paper_or_capi_full">choices!$Y$5:$Y$7</definedName>
    <definedName name="preferred_criteria">choices!$R$3:$R$9</definedName>
    <definedName name="project">choices!$A$2:$A$23</definedName>
    <definedName name="project_details">choices!$A$2:$A$23</definedName>
    <definedName name="project_phase">choices!$G$2:$G$8</definedName>
    <definedName name="projects">choices!$A$2:$A$28</definedName>
    <definedName name="quantitative_or_qualitative">choices!$AB$5:$AB$6</definedName>
    <definedName name="quantitative_or_qualitative_full">choices!$AB$5:$AB$7</definedName>
    <definedName name="researcharea">choices!$X$5:$X$10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2" i="8" l="1"/>
  <c r="D101" i="8"/>
  <c r="D95" i="8"/>
  <c r="D82" i="8"/>
  <c r="D107" i="8" l="1"/>
  <c r="I27" i="8" l="1"/>
  <c r="F27" i="8"/>
  <c r="C27" i="8"/>
  <c r="I23" i="8"/>
  <c r="F23" i="8"/>
  <c r="C23" i="8"/>
  <c r="I19" i="8"/>
  <c r="F19" i="8"/>
  <c r="C19" i="8"/>
  <c r="I15" i="8"/>
  <c r="F15" i="8"/>
  <c r="C15" i="8"/>
  <c r="I11" i="8"/>
  <c r="F11" i="8"/>
  <c r="C11" i="8"/>
  <c r="G142" i="8" l="1"/>
  <c r="G140" i="8"/>
  <c r="G138" i="8"/>
  <c r="G136" i="8"/>
  <c r="G134" i="8"/>
  <c r="G132" i="8"/>
  <c r="G90" i="3" l="1"/>
  <c r="G88" i="3"/>
  <c r="G86" i="3"/>
  <c r="G84" i="3"/>
  <c r="G82" i="3"/>
  <c r="G80" i="3"/>
  <c r="G74" i="3" l="1"/>
  <c r="G72" i="3"/>
  <c r="G70" i="3"/>
  <c r="G68" i="3"/>
  <c r="G66" i="3"/>
  <c r="G64" i="3"/>
  <c r="E43" i="1" l="1"/>
  <c r="E44" i="1"/>
  <c r="E45" i="1"/>
  <c r="E46" i="1"/>
  <c r="E47" i="1"/>
  <c r="E48" i="1"/>
  <c r="E49" i="1"/>
  <c r="E50" i="1"/>
  <c r="E51" i="1"/>
  <c r="D52" i="1"/>
  <c r="E42" i="1"/>
  <c r="E52" i="1" l="1"/>
</calcChain>
</file>

<file path=xl/sharedStrings.xml><?xml version="1.0" encoding="utf-8"?>
<sst xmlns="http://schemas.openxmlformats.org/spreadsheetml/2006/main" count="427" uniqueCount="303">
  <si>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</si>
  <si>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</si>
  <si>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</si>
  <si>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</si>
  <si>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</si>
  <si>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</si>
  <si>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</si>
  <si>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</si>
  <si>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</si>
  <si>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</si>
  <si>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</si>
  <si>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</si>
  <si>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</si>
  <si>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</si>
  <si>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</si>
  <si>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</si>
  <si>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Estimated Duration of Activity</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</si>
  <si>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</si>
  <si>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</si>
  <si>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</si>
  <si>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</si>
  <si>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</si>
  <si>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</si>
  <si>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</si>
  <si>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</si>
  <si>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</si>
  <si>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</si>
  <si>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</si>
  <si>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</si>
  <si>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</si>
  <si>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</si>
  <si>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</si>
  <si>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</si>
  <si>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</si>
  <si>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</si>
  <si>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</si>
  <si>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</si>
  <si>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</si>
  <si>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</si>
  <si>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r>
      <rPr>
        <b/>
        <u/>
        <sz val="11"/>
        <color theme="1"/>
        <rFont val="Calibri"/>
        <family val="2"/>
        <scheme val="minor"/>
      </rPr>
      <t>Instructions:</t>
    </r>
    <r>
      <rPr>
        <b/>
        <sz val="11"/>
        <color theme="1"/>
        <rFont val="Calibri"/>
        <family val="2"/>
        <scheme val="minor"/>
      </rPr>
      <t xml:space="preserve">
</t>
    </r>
    <r>
      <rPr>
        <sz val="11"/>
        <color theme="1"/>
        <rFont val="Calibri"/>
        <family val="2"/>
        <scheme val="minor"/>
      </rPr>
      <t xml:space="preserve">Indicate in cell </t>
    </r>
    <r>
      <rPr>
        <b/>
        <sz val="11"/>
        <color theme="1"/>
        <rFont val="Calibri"/>
        <family val="2"/>
        <scheme val="minor"/>
      </rPr>
      <t xml:space="preserve">C44 </t>
    </r>
    <r>
      <rPr>
        <sz val="11"/>
        <color theme="1"/>
        <rFont val="Calibri"/>
        <family val="2"/>
        <scheme val="minor"/>
      </rPr>
      <t>the name of the new sheet to create. This sheet should be a short name indicating the description of field staff to be selected from this sheet. eg. FS, TL_Ewe, Auditor_Central</t>
    </r>
  </si>
  <si>
    <t>Tamale</t>
  </si>
  <si>
    <t>Accra</t>
  </si>
  <si>
    <t>Pilot</t>
  </si>
  <si>
    <t>Census</t>
  </si>
  <si>
    <t>Baseline</t>
  </si>
  <si>
    <t>Midline</t>
  </si>
  <si>
    <t>Endline</t>
  </si>
  <si>
    <t>Follow up</t>
  </si>
  <si>
    <t>Intervention Activities</t>
  </si>
  <si>
    <t>Ishmail Azindoo Baako</t>
  </si>
  <si>
    <t>SME &amp; Gender</t>
  </si>
  <si>
    <t>Edward Tsinigo</t>
  </si>
  <si>
    <t>Request Details</t>
  </si>
  <si>
    <t>Field Staff Position</t>
  </si>
  <si>
    <t># of field staff required for field work</t>
  </si>
  <si>
    <t>Protocol Minimum Number of field staff required for training</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</si>
  <si>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</si>
  <si>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</si>
  <si>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</si>
  <si>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</si>
  <si>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</si>
  <si>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</si>
  <si>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</si>
  <si>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</si>
  <si>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</si>
  <si>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</si>
  <si>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</si>
  <si>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</si>
  <si>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</si>
  <si>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</si>
  <si>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</si>
  <si>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</si>
  <si>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Required Criteria</t>
  </si>
  <si>
    <t>Local Language Requirement</t>
  </si>
  <si>
    <t>Location Requirements</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</si>
  <si>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</si>
  <si>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</si>
  <si>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</si>
  <si>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</si>
  <si>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</si>
  <si>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</si>
  <si>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</si>
  <si>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</si>
  <si>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</si>
  <si>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</si>
  <si>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</si>
  <si>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</si>
  <si>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</si>
  <si>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</si>
  <si>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</si>
  <si>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</si>
  <si>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</si>
  <si>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</si>
  <si>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</si>
  <si>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</si>
  <si>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</si>
  <si>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</si>
  <si>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</si>
  <si>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</si>
  <si>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</si>
  <si>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</si>
  <si>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</si>
  <si>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</si>
  <si>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</si>
  <si>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</si>
  <si>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</si>
  <si>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</si>
  <si>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</si>
  <si>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</si>
  <si>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</si>
  <si>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</si>
  <si>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</si>
  <si>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</si>
  <si>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</si>
  <si>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</si>
  <si>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</si>
  <si>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</si>
  <si>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</si>
  <si>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</si>
  <si>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</si>
  <si>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</si>
  <si>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</si>
  <si>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</si>
  <si>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</si>
  <si>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</si>
  <si>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</si>
  <si>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</si>
  <si>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</si>
  <si>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</si>
  <si>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r>
      <t xml:space="preserve">Instructions:
</t>
    </r>
    <r>
      <rPr>
        <i/>
        <sz val="12"/>
        <rFont val="Calibri"/>
        <family val="2"/>
        <scheme val="minor"/>
      </rPr>
      <t xml:space="preserve">In the table below, select the language requirements for this position. Please note that this can be used for the different combinations of languages. All languages are pre-populated and should be selected from the dropdown list. If the language you require is not in the list, kindly inform a member of the RQ team immediately. If this survey does not require fluency in local languages, kindly leave this section blank. </t>
    </r>
  </si>
  <si>
    <r>
      <t xml:space="preserve">Instructions:
</t>
    </r>
    <r>
      <rPr>
        <i/>
        <sz val="12"/>
        <rFont val="Calibri"/>
        <family val="2"/>
        <scheme val="minor"/>
      </rPr>
      <t>In the table below, select the residential preferences for this field activities. For instance, if you only want to work with field staff with residency in Greater Accra, Kindly Select Greater Accra. This select allows for the selection of multiple regions as well. Kindly leave the section blank if the current location of the field staff is not relevant for this field activity</t>
    </r>
  </si>
  <si>
    <t>Region 1</t>
  </si>
  <si>
    <t>Region 2</t>
  </si>
  <si>
    <t>Region 3</t>
  </si>
  <si>
    <t>Region 4</t>
  </si>
  <si>
    <t>Region 5</t>
  </si>
  <si>
    <t>Region 6</t>
  </si>
  <si>
    <t>Region 7</t>
  </si>
  <si>
    <t>Region 8</t>
  </si>
  <si>
    <t>Region 9</t>
  </si>
  <si>
    <t>Ashanti</t>
  </si>
  <si>
    <t>Central</t>
  </si>
  <si>
    <t>Eastern</t>
  </si>
  <si>
    <t>Northern</t>
  </si>
  <si>
    <t>Volta</t>
  </si>
  <si>
    <t>Western</t>
  </si>
  <si>
    <t>regions</t>
  </si>
  <si>
    <t>Brong Ahafo</t>
  </si>
  <si>
    <t>Greater Accra</t>
  </si>
  <si>
    <t>Upper East</t>
  </si>
  <si>
    <t>Upper West</t>
  </si>
  <si>
    <r>
      <t xml:space="preserve">Instructions:
</t>
    </r>
    <r>
      <rPr>
        <i/>
        <sz val="12"/>
        <rFont val="Calibri"/>
        <family val="2"/>
        <scheme val="minor"/>
      </rPr>
      <t xml:space="preserve">In the table below, please indicate the required criteria for this recruitment. Note that field staff who do not meet this criteria will be eliminated. </t>
    </r>
  </si>
  <si>
    <t>Criteria</t>
  </si>
  <si>
    <t>Minimum Requirement</t>
  </si>
  <si>
    <t>Prefered 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</si>
  <si>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</si>
  <si>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</si>
  <si>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</si>
  <si>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</si>
  <si>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</si>
  <si>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</si>
  <si>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</si>
  <si>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</si>
  <si>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</si>
  <si>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</si>
  <si>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</si>
  <si>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</si>
  <si>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</si>
  <si>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</si>
  <si>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</si>
  <si>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</si>
  <si>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</si>
  <si>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</si>
  <si>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</si>
  <si>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</si>
  <si>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</si>
  <si>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</si>
  <si>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</si>
  <si>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</si>
  <si>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</si>
  <si>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</si>
  <si>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</si>
  <si>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</si>
  <si>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</si>
  <si>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</si>
  <si>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</si>
  <si>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</si>
  <si>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</si>
  <si>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</si>
  <si>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</si>
  <si>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</si>
  <si>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</si>
  <si>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</si>
  <si>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</si>
  <si>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</si>
  <si>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</si>
  <si>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</si>
  <si>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</si>
  <si>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</si>
  <si>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</si>
  <si>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</si>
  <si>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</si>
  <si>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Paper/CAPI</t>
  </si>
  <si>
    <t>SurveyCTO</t>
  </si>
  <si>
    <t>Tangerine</t>
  </si>
  <si>
    <t>ODK</t>
  </si>
  <si>
    <t>Blaise</t>
  </si>
  <si>
    <t>Phone</t>
  </si>
  <si>
    <t>Field</t>
  </si>
  <si>
    <t>Phone/Field</t>
  </si>
  <si>
    <t>Quantitative</t>
  </si>
  <si>
    <t>Qualitative</t>
  </si>
  <si>
    <t>Quantitative/Qualitative</t>
  </si>
  <si>
    <t>metric</t>
  </si>
  <si>
    <t>description</t>
  </si>
  <si>
    <t>Experience in CAPI Software</t>
  </si>
  <si>
    <t>Minimum Database Weighted Average Score.</t>
  </si>
  <si>
    <t>gender</t>
  </si>
  <si>
    <t>Male</t>
  </si>
  <si>
    <t>Female</t>
  </si>
  <si>
    <t>Gender of Field Staff</t>
  </si>
  <si>
    <t>Sub Phase (opt)</t>
  </si>
  <si>
    <t>Position (if not in list select closeset postion)</t>
  </si>
  <si>
    <r>
      <t>Previous Experience in at least one of the following positions
(</t>
    </r>
    <r>
      <rPr>
        <sz val="11"/>
        <color rgb="FFFF0000"/>
        <rFont val="Calibri"/>
        <family val="2"/>
        <scheme val="minor"/>
      </rPr>
      <t>multiple selection allowed</t>
    </r>
    <r>
      <rPr>
        <sz val="11"/>
        <rFont val="Calibri"/>
        <family val="2"/>
        <scheme val="minor"/>
      </rPr>
      <t>)</t>
    </r>
  </si>
  <si>
    <t>Specific Date of Training for position (MM/DD/YY)
[Leave blank if it’s the same as general date of training]</t>
  </si>
  <si>
    <t>Farmerline</t>
  </si>
  <si>
    <t>Eric Tawiah</t>
  </si>
  <si>
    <t>3 Days</t>
  </si>
  <si>
    <t>The survey will interview about 25 farmers in the cocoa, soyabean, rice and vegetable value chain. This will be a phone survey and will be done in the office.</t>
  </si>
  <si>
    <t>19257AA</t>
  </si>
  <si>
    <t>UCB9564</t>
  </si>
  <si>
    <t>Database Score (Weighted Average)</t>
  </si>
  <si>
    <t xml:space="preserve">       Ashanti</t>
  </si>
  <si>
    <t xml:space="preserve">       Central</t>
  </si>
  <si>
    <t xml:space="preserve">       Eastern</t>
  </si>
  <si>
    <t xml:space="preserve">       Greater Accra</t>
  </si>
  <si>
    <t xml:space="preserve">       Northern</t>
  </si>
  <si>
    <t xml:space="preserve">       Upper East</t>
  </si>
  <si>
    <t xml:space="preserve">       Upper West</t>
  </si>
  <si>
    <t xml:space="preserve">       Volta</t>
  </si>
  <si>
    <t xml:space="preserve">       Western</t>
  </si>
  <si>
    <t xml:space="preserve">      </t>
  </si>
  <si>
    <t xml:space="preserve">       </t>
  </si>
  <si>
    <t xml:space="preserve">       Brong/Ahafo</t>
  </si>
  <si>
    <t xml:space="preserve">       Auditor (Audio)</t>
  </si>
  <si>
    <t xml:space="preserve">       Auditor (Field/Phone)</t>
  </si>
  <si>
    <t xml:space="preserve">       Data Entry Officer</t>
  </si>
  <si>
    <t xml:space="preserve">       Editor</t>
  </si>
  <si>
    <t xml:space="preserve">       Facilitator</t>
  </si>
  <si>
    <t xml:space="preserve">       Field Supervisor</t>
  </si>
  <si>
    <t xml:space="preserve">       Indepth Interviewer</t>
  </si>
  <si>
    <t xml:space="preserve">       Note Taker</t>
  </si>
  <si>
    <t xml:space="preserve">       Observer</t>
  </si>
  <si>
    <t xml:space="preserve">       Surveyor</t>
  </si>
  <si>
    <t xml:space="preserve">       Team Leader</t>
  </si>
  <si>
    <t xml:space="preserve">       Transcriptionist</t>
  </si>
  <si>
    <t xml:space="preserve">       Translator</t>
  </si>
  <si>
    <t xml:space="preserve">       Video Coder</t>
  </si>
  <si>
    <r>
      <t xml:space="preserve">Previous Experience in at least one of the following positions. Ensure that only positions to be considered are checked. Experience in a previous position is not relevant, ensure that all boxes are checked
</t>
    </r>
    <r>
      <rPr>
        <i/>
        <sz val="11"/>
        <rFont val="Calibri"/>
        <family val="2"/>
        <scheme val="minor"/>
      </rPr>
      <t/>
    </r>
  </si>
  <si>
    <r>
      <rPr>
        <b/>
        <u/>
        <sz val="11"/>
        <rFont val="Calibri"/>
        <family val="2"/>
        <scheme val="minor"/>
      </rPr>
      <t>Instructions:</t>
    </r>
    <r>
      <rPr>
        <sz val="11"/>
        <rFont val="Calibri"/>
        <family val="2"/>
        <scheme val="minor"/>
      </rPr>
      <t xml:space="preserve">
Location preferences for this field activities. Ensure that only locations that are required for this field activity are checked. If the location is not a requirement, ensure that all boxes are checked</t>
    </r>
  </si>
  <si>
    <t>Specific Date for training [MM/DD/YY]</t>
  </si>
  <si>
    <t>Highest Level of Education completed. Select from the drop down list the minimal educational requirement</t>
  </si>
  <si>
    <t>education_val</t>
  </si>
  <si>
    <t>Local Language Proficiency</t>
  </si>
  <si>
    <t>Region of Residence</t>
  </si>
  <si>
    <t>Previous Experience in Positions at IPA</t>
  </si>
  <si>
    <t>Experience on Specific IPA Projects &amp; Phases</t>
  </si>
  <si>
    <r>
      <rPr>
        <b/>
        <u/>
        <sz val="11"/>
        <rFont val="Calibri"/>
        <family val="2"/>
        <scheme val="minor"/>
      </rPr>
      <t>Instructions:</t>
    </r>
    <r>
      <rPr>
        <sz val="11"/>
        <rFont val="Calibri"/>
        <family val="2"/>
        <scheme val="minor"/>
      </rPr>
      <t xml:space="preserve">
In the table below, select requirement for working on specific IPA projects or phases in the past. </t>
    </r>
  </si>
  <si>
    <t>Project</t>
  </si>
  <si>
    <t>Phase</t>
  </si>
  <si>
    <t>Experience on Specific Research Areas</t>
  </si>
  <si>
    <r>
      <rPr>
        <b/>
        <u/>
        <sz val="11"/>
        <rFont val="Calibri"/>
        <family val="2"/>
        <scheme val="minor"/>
      </rPr>
      <t>Instructions:</t>
    </r>
    <r>
      <rPr>
        <sz val="11"/>
        <rFont val="Calibri"/>
        <family val="2"/>
        <scheme val="minor"/>
      </rPr>
      <t xml:space="preserve">
Experience in specific research areas. Specify if field staff must have experience working in specific research areas in the past</t>
    </r>
  </si>
  <si>
    <t xml:space="preserve">       Agriculture</t>
  </si>
  <si>
    <t xml:space="preserve">       Education</t>
  </si>
  <si>
    <t xml:space="preserve">       Financial Inclusion</t>
  </si>
  <si>
    <t xml:space="preserve">       Governance</t>
  </si>
  <si>
    <t xml:space="preserve">       Health</t>
  </si>
  <si>
    <t xml:space="preserve">       Peace and Recovery</t>
  </si>
  <si>
    <t xml:space="preserve">       Small and Medium Enterprises</t>
  </si>
  <si>
    <t xml:space="preserve"> </t>
  </si>
  <si>
    <t xml:space="preserve">       Social Protection</t>
  </si>
  <si>
    <t>Experience in CAPI or PAPER</t>
  </si>
  <si>
    <t>Select from the drop down list the requirement for experience with CAPI or Paper Surveying</t>
  </si>
  <si>
    <t>Experience in the use of Specific CAPI Software</t>
  </si>
  <si>
    <t xml:space="preserve">       SurveyCTO</t>
  </si>
  <si>
    <t xml:space="preserve">       ODK</t>
  </si>
  <si>
    <t xml:space="preserve">       Tangerine</t>
  </si>
  <si>
    <t xml:space="preserve">       Blaise C.B.S</t>
  </si>
  <si>
    <t>Select from the drop down list the requirement for in-person (field) or phone interviews</t>
  </si>
  <si>
    <t>Experience with Phone or in-person (Field) interviewing</t>
  </si>
  <si>
    <t>Experience with Quantitative and Qualitative Interviewing</t>
  </si>
  <si>
    <t>Select from the drop down list the requirement for quantitative or qualitative interviewing</t>
  </si>
  <si>
    <t>Database Score</t>
  </si>
  <si>
    <t xml:space="preserve">Please note that field staff with an average score of less than 40% will automatically be dropped. To prevent this check the box on the right and provide reasons for this. </t>
  </si>
  <si>
    <t>Gender</t>
  </si>
  <si>
    <t>Include the email granting an exception to recruit only one gender when submitting this request to the SC</t>
  </si>
  <si>
    <t>Specify gender requirement for this recruitment. Leave blank if Not Applicable</t>
  </si>
  <si>
    <t>Select CAPI Softwares with which experience is required. The input here only applies if CAPI was selected as a requirement</t>
  </si>
  <si>
    <t>Minimum Level of Education</t>
  </si>
  <si>
    <t>Exclude Field Staff Who have worked on specific projects or project phases</t>
  </si>
  <si>
    <r>
      <rPr>
        <b/>
        <u/>
        <sz val="11"/>
        <rFont val="Calibri"/>
        <family val="2"/>
        <scheme val="minor"/>
      </rPr>
      <t>Instructions:</t>
    </r>
    <r>
      <rPr>
        <sz val="11"/>
        <rFont val="Calibri"/>
        <family val="2"/>
        <scheme val="minor"/>
      </rPr>
      <t xml:space="preserve">
Specify the field staff to disqualify due to the experience on previous projects or project phases</t>
    </r>
  </si>
  <si>
    <t>Sorting Criteria</t>
  </si>
  <si>
    <t>db_score_weighted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</si>
</sst>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409]d\-mmm\-yy;@"/>
  </numFmts>
  <fonts count="24"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b/>
      <u/>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
      <sz val="11"/>
      <color rgb="FFD6DCDA"/>
      <name val="Calibri"/>
      <family val="2"/>
      <scheme val="minor"/>
    </font>
    <font>
      <sz val="11"/>
      <color rgb="FF006100"/>
      <name val="Calibri"/>
      <family val="2"/>
      <scheme val="minor"/>
    </font>
    <font>
      <b/>
      <u/>
      <sz val="11"/>
      <name val="Calibri"/>
      <family val="2"/>
      <scheme val="minor"/>
    </font>
    <font>
      <i/>
      <sz val="11"/>
      <name val="Calibri"/>
      <family val="2"/>
      <scheme val="minor"/>
    </font>
    <font>
      <sz val="8"/>
      <name val="Segoe UI"/>
      <family val="2"/>
    </font>
  </fonts>
  <fills count="8">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
      <patternFill patternType="solid">
        <fgColor rgb="FFC6EFCE"/>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s>
  <cellStyleXfs count="5">
    <xf numFmtId="0" fontId="0" fillId="0" borderId="0"/>
    <xf numFmtId="0" fontId="5" fillId="0" borderId="0"/>
    <xf numFmtId="0" fontId="5" fillId="0" borderId="0"/>
    <xf numFmtId="0" fontId="5" fillId="0" borderId="0"/>
    <xf numFmtId="0" fontId="20" fillId="7" borderId="0" applyNumberFormat="0" applyBorder="0" applyAlignment="0" applyProtection="0"/>
  </cellStyleXfs>
  <cellXfs count="255">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14"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10" xfId="0" applyFont="1" applyBorder="1"/>
    <xf numFmtId="0" fontId="0" fillId="0" borderId="1" xfId="0" applyFont="1" applyFill="1" applyBorder="1" applyAlignment="1">
      <alignment wrapText="1"/>
    </xf>
    <xf numFmtId="0" fontId="4" fillId="0" borderId="1" xfId="0" applyFont="1" applyBorder="1" applyAlignment="1">
      <alignment wrapText="1"/>
    </xf>
    <xf numFmtId="0" fontId="0" fillId="0" borderId="0" xfId="0" applyProtection="1">
      <protection locked="0" hidden="1"/>
    </xf>
    <xf numFmtId="1" fontId="1" fillId="2" borderId="1" xfId="0" applyNumberFormat="1" applyFont="1" applyFill="1" applyBorder="1" applyAlignment="1" applyProtection="1">
      <alignment wrapText="1"/>
      <protection hidden="1"/>
    </xf>
    <xf numFmtId="0" fontId="0" fillId="6" borderId="1" xfId="0" applyFill="1" applyBorder="1" applyAlignment="1" applyProtection="1">
      <protection hidden="1"/>
    </xf>
    <xf numFmtId="0" fontId="3" fillId="0" borderId="1" xfId="0" applyFont="1" applyFill="1" applyBorder="1" applyAlignment="1">
      <alignment wrapText="1"/>
    </xf>
    <xf numFmtId="0" fontId="0" fillId="0" borderId="0" xfId="0" applyFill="1" applyBorder="1"/>
    <xf numFmtId="0" fontId="0" fillId="0" borderId="0" xfId="0" applyBorder="1"/>
    <xf numFmtId="0" fontId="0" fillId="3" borderId="0" xfId="0" applyFill="1" applyBorder="1" applyAlignment="1" applyProtection="1">
      <alignment wrapText="1"/>
      <protection locked="0"/>
    </xf>
    <xf numFmtId="0" fontId="0" fillId="0" borderId="0" xfId="0" applyProtection="1">
      <protection locked="0"/>
    </xf>
    <xf numFmtId="0" fontId="0" fillId="0" borderId="0" xfId="0" applyAlignment="1" applyProtection="1">
      <alignment wrapText="1"/>
      <protection locked="0"/>
    </xf>
    <xf numFmtId="0" fontId="0" fillId="3" borderId="0" xfId="0" applyFill="1" applyBorder="1" applyProtection="1">
      <protection locked="0"/>
    </xf>
    <xf numFmtId="0" fontId="0" fillId="3" borderId="0" xfId="0" applyFont="1" applyFill="1" applyBorder="1" applyAlignment="1" applyProtection="1">
      <alignment wrapText="1"/>
      <protection locked="0"/>
    </xf>
    <xf numFmtId="0" fontId="5" fillId="0" borderId="0" xfId="0" applyFont="1" applyFill="1" applyBorder="1" applyAlignment="1" applyProtection="1">
      <alignment wrapText="1"/>
      <protection locked="0"/>
    </xf>
    <xf numFmtId="0" fontId="6" fillId="0" borderId="0" xfId="0" applyFont="1" applyFill="1" applyBorder="1" applyAlignment="1" applyProtection="1">
      <alignment horizontal="center"/>
      <protection locked="0"/>
    </xf>
    <xf numFmtId="0" fontId="0" fillId="3" borderId="0" xfId="0" applyFill="1" applyProtection="1">
      <protection locked="0"/>
    </xf>
    <xf numFmtId="0" fontId="0" fillId="3" borderId="0" xfId="0" applyFill="1" applyAlignment="1" applyProtection="1">
      <alignment wrapText="1"/>
      <protection locked="0"/>
    </xf>
    <xf numFmtId="0" fontId="0" fillId="0" borderId="0" xfId="0" applyFill="1" applyProtection="1">
      <protection locked="0"/>
    </xf>
    <xf numFmtId="0" fontId="0" fillId="0" borderId="0" xfId="0" applyFill="1" applyAlignment="1" applyProtection="1">
      <alignment wrapText="1"/>
      <protection locked="0"/>
    </xf>
    <xf numFmtId="0" fontId="1" fillId="2" borderId="1" xfId="0" applyFont="1" applyFill="1" applyBorder="1" applyAlignment="1" applyProtection="1">
      <alignment horizontal="left" wrapText="1"/>
      <protection locked="0"/>
    </xf>
    <xf numFmtId="0" fontId="1" fillId="3" borderId="0" xfId="0" applyFont="1" applyFill="1" applyProtection="1">
      <protection locked="0"/>
    </xf>
    <xf numFmtId="1" fontId="0" fillId="0" borderId="1" xfId="0" applyNumberFormat="1" applyFill="1" applyBorder="1" applyAlignment="1" applyProtection="1">
      <alignment wrapText="1"/>
      <protection locked="0"/>
    </xf>
    <xf numFmtId="0" fontId="11" fillId="5" borderId="0" xfId="0" applyFont="1" applyFill="1" applyProtection="1">
      <protection locked="0"/>
    </xf>
    <xf numFmtId="0" fontId="11" fillId="5" borderId="0" xfId="0" applyFont="1" applyFill="1" applyAlignment="1" applyProtection="1">
      <alignment wrapText="1"/>
      <protection locked="0"/>
    </xf>
    <xf numFmtId="0" fontId="0" fillId="5" borderId="0" xfId="0" applyFill="1" applyProtection="1">
      <protection locked="0"/>
    </xf>
    <xf numFmtId="0" fontId="12" fillId="5" borderId="0" xfId="0" applyFont="1" applyFill="1" applyAlignment="1" applyProtection="1">
      <alignment horizontal="left"/>
      <protection locked="0"/>
    </xf>
    <xf numFmtId="0" fontId="11" fillId="5" borderId="0" xfId="0" applyFont="1" applyFill="1" applyAlignment="1" applyProtection="1">
      <alignment horizontal="left"/>
      <protection locked="0"/>
    </xf>
    <xf numFmtId="0" fontId="13" fillId="5" borderId="0" xfId="0" applyFont="1" applyFill="1" applyAlignment="1" applyProtection="1">
      <alignment horizontal="left"/>
      <protection locked="0"/>
    </xf>
    <xf numFmtId="0" fontId="13" fillId="5" borderId="0" xfId="0" applyFont="1" applyFill="1" applyProtection="1">
      <protection locked="0"/>
    </xf>
    <xf numFmtId="0" fontId="13" fillId="5" borderId="0" xfId="0" applyFont="1" applyFill="1" applyAlignment="1" applyProtection="1">
      <alignment vertical="center"/>
      <protection locked="0"/>
    </xf>
    <xf numFmtId="0" fontId="11" fillId="5" borderId="0" xfId="0" applyFont="1" applyFill="1" applyAlignment="1" applyProtection="1">
      <alignment vertical="center"/>
      <protection locked="0"/>
    </xf>
    <xf numFmtId="0" fontId="11" fillId="0" borderId="1" xfId="0" applyFont="1" applyFill="1" applyBorder="1" applyAlignment="1" applyProtection="1">
      <alignment horizontal="left"/>
      <protection locked="0"/>
    </xf>
    <xf numFmtId="0" fontId="11" fillId="0" borderId="1" xfId="0" applyFont="1" applyFill="1" applyBorder="1" applyProtection="1">
      <protection locked="0"/>
    </xf>
    <xf numFmtId="0" fontId="13" fillId="5" borderId="12" xfId="0" applyFont="1" applyFill="1" applyBorder="1" applyAlignment="1" applyProtection="1">
      <alignment vertical="center"/>
      <protection locked="0"/>
    </xf>
    <xf numFmtId="0" fontId="11" fillId="5" borderId="0" xfId="0" applyFont="1" applyFill="1" applyBorder="1" applyAlignment="1" applyProtection="1">
      <alignment horizontal="left"/>
      <protection locked="0"/>
    </xf>
    <xf numFmtId="0" fontId="11" fillId="5" borderId="0" xfId="0" applyFont="1" applyFill="1" applyBorder="1" applyProtection="1">
      <protection locked="0"/>
    </xf>
    <xf numFmtId="0" fontId="13" fillId="5" borderId="0" xfId="0" applyFont="1" applyFill="1" applyBorder="1" applyAlignment="1" applyProtection="1">
      <alignment vertical="center"/>
      <protection locked="0"/>
    </xf>
    <xf numFmtId="0" fontId="11" fillId="5" borderId="0" xfId="0" applyFont="1" applyFill="1" applyBorder="1" applyAlignment="1" applyProtection="1">
      <alignment vertical="center"/>
      <protection locked="0"/>
    </xf>
    <xf numFmtId="0" fontId="11" fillId="5" borderId="0" xfId="0" applyFont="1" applyFill="1" applyAlignment="1" applyProtection="1">
      <alignment vertical="top" wrapText="1"/>
      <protection locked="0"/>
    </xf>
    <xf numFmtId="0" fontId="11" fillId="5" borderId="0" xfId="0" applyFont="1" applyFill="1" applyAlignment="1" applyProtection="1">
      <alignment horizontal="left" vertical="top" wrapText="1"/>
      <protection locked="0"/>
    </xf>
    <xf numFmtId="9" fontId="11" fillId="0" borderId="1" xfId="0" applyNumberFormat="1" applyFont="1" applyFill="1" applyBorder="1" applyProtection="1">
      <protection locked="0"/>
    </xf>
    <xf numFmtId="164" fontId="11" fillId="0" borderId="1" xfId="0" applyNumberFormat="1" applyFont="1" applyFill="1" applyBorder="1" applyProtection="1">
      <protection locked="0"/>
    </xf>
    <xf numFmtId="164" fontId="11" fillId="5" borderId="0" xfId="0" applyNumberFormat="1" applyFont="1" applyFill="1" applyBorder="1" applyProtection="1">
      <protection locked="0"/>
    </xf>
    <xf numFmtId="0" fontId="13" fillId="5" borderId="0" xfId="0" applyFont="1" applyFill="1" applyProtection="1">
      <protection locked="0" hidden="1"/>
    </xf>
    <xf numFmtId="0" fontId="17" fillId="5" borderId="0" xfId="0" applyFont="1" applyFill="1" applyProtection="1">
      <protection locked="0" hidden="1"/>
    </xf>
    <xf numFmtId="0" fontId="0" fillId="5" borderId="0" xfId="0" applyFill="1" applyProtection="1">
      <protection locked="0" hidden="1"/>
    </xf>
    <xf numFmtId="0" fontId="11" fillId="5" borderId="0" xfId="0" applyFont="1" applyFill="1" applyAlignment="1" applyProtection="1">
      <alignment wrapText="1"/>
      <protection locked="0" hidden="1"/>
    </xf>
    <xf numFmtId="0" fontId="11" fillId="5" borderId="0" xfId="0" applyFont="1" applyFill="1" applyProtection="1">
      <protection locked="0" hidden="1"/>
    </xf>
    <xf numFmtId="0" fontId="11" fillId="5" borderId="0" xfId="0" applyFont="1" applyFill="1" applyBorder="1" applyProtection="1">
      <protection locked="0" hidden="1"/>
    </xf>
    <xf numFmtId="0" fontId="0" fillId="0" borderId="1" xfId="0" applyFont="1" applyFill="1" applyBorder="1"/>
    <xf numFmtId="0" fontId="19" fillId="5" borderId="0" xfId="0" applyFont="1" applyFill="1" applyBorder="1" applyProtection="1">
      <protection hidden="1"/>
    </xf>
    <xf numFmtId="0" fontId="12" fillId="5" borderId="0" xfId="0" applyFont="1" applyFill="1" applyAlignment="1" applyProtection="1">
      <alignment horizontal="left"/>
      <protection locked="0"/>
    </xf>
    <xf numFmtId="0" fontId="13" fillId="5" borderId="0" xfId="0" applyFont="1" applyFill="1" applyBorder="1" applyAlignment="1" applyProtection="1">
      <alignment horizontal="left"/>
      <protection locked="0"/>
    </xf>
    <xf numFmtId="0" fontId="0" fillId="0" borderId="0" xfId="0" applyFont="1" applyFill="1" applyBorder="1" applyAlignment="1">
      <alignment wrapText="1"/>
    </xf>
    <xf numFmtId="0" fontId="1" fillId="0" borderId="0" xfId="0" applyFont="1" applyFill="1" applyBorder="1" applyAlignment="1">
      <alignment wrapText="1"/>
    </xf>
    <xf numFmtId="9" fontId="19" fillId="5" borderId="0" xfId="0" applyNumberFormat="1" applyFont="1" applyFill="1" applyBorder="1" applyAlignment="1" applyProtection="1">
      <protection locked="0"/>
    </xf>
    <xf numFmtId="0" fontId="19" fillId="5" borderId="0" xfId="0" applyFont="1" applyFill="1" applyBorder="1" applyProtection="1">
      <protection locked="0"/>
    </xf>
    <xf numFmtId="0" fontId="11" fillId="5" borderId="0" xfId="0" applyFont="1" applyFill="1" applyBorder="1" applyAlignment="1" applyProtection="1">
      <alignment vertical="top"/>
      <protection locked="0"/>
    </xf>
    <xf numFmtId="0" fontId="19" fillId="5" borderId="0" xfId="0" applyFont="1" applyFill="1" applyBorder="1" applyAlignment="1" applyProtection="1">
      <alignment vertical="top"/>
      <protection locked="0"/>
    </xf>
    <xf numFmtId="0" fontId="11" fillId="0" borderId="19" xfId="0" applyFont="1" applyFill="1" applyBorder="1" applyAlignment="1" applyProtection="1">
      <alignment horizontal="left"/>
      <protection locked="0"/>
    </xf>
    <xf numFmtId="0" fontId="11" fillId="0" borderId="20" xfId="0" applyFont="1" applyFill="1" applyBorder="1" applyProtection="1">
      <protection locked="0"/>
    </xf>
    <xf numFmtId="0" fontId="11" fillId="5" borderId="24" xfId="0" applyFont="1" applyFill="1" applyBorder="1" applyAlignment="1" applyProtection="1">
      <alignment horizontal="left"/>
      <protection locked="0"/>
    </xf>
    <xf numFmtId="0" fontId="11" fillId="5" borderId="26" xfId="0" applyFont="1" applyFill="1" applyBorder="1" applyAlignment="1" applyProtection="1">
      <alignment horizontal="left"/>
      <protection locked="0"/>
    </xf>
    <xf numFmtId="0" fontId="11" fillId="5" borderId="30" xfId="0" applyFont="1" applyFill="1" applyBorder="1" applyAlignment="1" applyProtection="1">
      <alignment horizontal="left"/>
      <protection locked="0"/>
    </xf>
    <xf numFmtId="0" fontId="11" fillId="5" borderId="31" xfId="0" applyFont="1" applyFill="1" applyBorder="1" applyAlignment="1" applyProtection="1">
      <alignment horizontal="left"/>
      <protection locked="0"/>
    </xf>
    <xf numFmtId="0" fontId="11" fillId="5" borderId="32" xfId="0" applyFont="1" applyFill="1" applyBorder="1" applyAlignment="1" applyProtection="1">
      <alignment horizontal="left"/>
      <protection locked="0"/>
    </xf>
    <xf numFmtId="0" fontId="11" fillId="5" borderId="36" xfId="0" applyFont="1" applyFill="1" applyBorder="1" applyAlignment="1" applyProtection="1">
      <alignment vertical="top"/>
      <protection locked="0"/>
    </xf>
    <xf numFmtId="0" fontId="11" fillId="5" borderId="37" xfId="0" applyFont="1" applyFill="1" applyBorder="1" applyAlignment="1" applyProtection="1">
      <alignment vertical="top"/>
      <protection locked="0"/>
    </xf>
    <xf numFmtId="0" fontId="11" fillId="5" borderId="38" xfId="0" applyFont="1" applyFill="1" applyBorder="1" applyAlignment="1" applyProtection="1">
      <alignment vertical="top"/>
      <protection locked="0"/>
    </xf>
    <xf numFmtId="0" fontId="11" fillId="5" borderId="39" xfId="0" applyFont="1" applyFill="1" applyBorder="1" applyAlignment="1" applyProtection="1">
      <alignment vertical="top"/>
      <protection locked="0"/>
    </xf>
    <xf numFmtId="0" fontId="11" fillId="5" borderId="40" xfId="0" applyFont="1" applyFill="1" applyBorder="1" applyAlignment="1" applyProtection="1">
      <alignment vertical="top"/>
      <protection locked="0"/>
    </xf>
    <xf numFmtId="0" fontId="11" fillId="5" borderId="41" xfId="0" applyFont="1" applyFill="1" applyBorder="1" applyAlignment="1" applyProtection="1">
      <alignment vertical="top"/>
      <protection locked="0"/>
    </xf>
    <xf numFmtId="0" fontId="11" fillId="5" borderId="42" xfId="0" applyFont="1" applyFill="1" applyBorder="1" applyAlignment="1" applyProtection="1">
      <alignment vertical="top"/>
      <protection locked="0"/>
    </xf>
    <xf numFmtId="0" fontId="11" fillId="5" borderId="26" xfId="0" applyFont="1" applyFill="1" applyBorder="1" applyAlignment="1" applyProtection="1">
      <alignment vertical="top"/>
      <protection locked="0"/>
    </xf>
    <xf numFmtId="0" fontId="11" fillId="5" borderId="0" xfId="4" applyFont="1" applyFill="1" applyBorder="1" applyAlignment="1" applyProtection="1">
      <alignment vertical="top" wrapText="1"/>
      <protection locked="0"/>
    </xf>
    <xf numFmtId="0" fontId="11" fillId="5" borderId="0" xfId="4" applyFont="1" applyFill="1" applyBorder="1" applyAlignment="1" applyProtection="1">
      <alignment vertical="top"/>
      <protection locked="0"/>
    </xf>
    <xf numFmtId="9" fontId="12" fillId="5" borderId="0" xfId="0" applyNumberFormat="1" applyFont="1" applyFill="1" applyBorder="1" applyAlignment="1" applyProtection="1">
      <alignment horizontal="left"/>
      <protection locked="0"/>
    </xf>
    <xf numFmtId="165" fontId="11" fillId="4" borderId="15" xfId="0" applyNumberFormat="1" applyFont="1" applyFill="1" applyBorder="1" applyProtection="1">
      <protection locked="0"/>
    </xf>
    <xf numFmtId="0" fontId="1" fillId="0" borderId="0" xfId="0" applyFont="1" applyBorder="1" applyAlignment="1">
      <alignment wrapText="1"/>
    </xf>
    <xf numFmtId="0" fontId="0" fillId="0" borderId="0" xfId="0" applyBorder="1" applyAlignment="1">
      <alignment wrapText="1"/>
    </xf>
    <xf numFmtId="0" fontId="3" fillId="2" borderId="2" xfId="0" applyFont="1" applyFill="1" applyBorder="1" applyAlignment="1" applyProtection="1">
      <alignment horizontal="left" vertical="top" wrapText="1"/>
      <protection locked="0"/>
    </xf>
    <xf numFmtId="0" fontId="3" fillId="2" borderId="3" xfId="0" applyFont="1" applyFill="1" applyBorder="1" applyAlignment="1" applyProtection="1">
      <alignment horizontal="left" vertical="top" wrapText="1"/>
      <protection locked="0"/>
    </xf>
    <xf numFmtId="0" fontId="3" fillId="2" borderId="4" xfId="0" applyFont="1" applyFill="1" applyBorder="1" applyAlignment="1" applyProtection="1">
      <alignment horizontal="left" vertical="top" wrapText="1"/>
      <protection locked="0"/>
    </xf>
    <xf numFmtId="0" fontId="0" fillId="0" borderId="5" xfId="0" applyFill="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0" fillId="0" borderId="6" xfId="0" applyFill="1" applyBorder="1" applyAlignment="1" applyProtection="1">
      <alignment horizontal="left" vertical="top" wrapText="1"/>
      <protection locked="0"/>
    </xf>
    <xf numFmtId="0" fontId="0" fillId="0" borderId="7" xfId="0" applyFill="1" applyBorder="1" applyAlignment="1" applyProtection="1">
      <alignment horizontal="left" vertical="top" wrapText="1"/>
      <protection locked="0"/>
    </xf>
    <xf numFmtId="0" fontId="0" fillId="0" borderId="8" xfId="0" applyFill="1" applyBorder="1" applyAlignment="1" applyProtection="1">
      <alignment horizontal="left" vertical="top" wrapText="1"/>
      <protection locked="0"/>
    </xf>
    <xf numFmtId="0" fontId="0" fillId="0" borderId="9" xfId="0" applyFill="1" applyBorder="1" applyAlignment="1" applyProtection="1">
      <alignment horizontal="left" vertical="top" wrapText="1"/>
      <protection locked="0"/>
    </xf>
    <xf numFmtId="0" fontId="7" fillId="3" borderId="1" xfId="0" applyFont="1" applyFill="1" applyBorder="1" applyAlignment="1" applyProtection="1">
      <alignment horizontal="left" wrapText="1"/>
      <protection locked="0"/>
    </xf>
    <xf numFmtId="0" fontId="6" fillId="0" borderId="1" xfId="0" applyFont="1" applyFill="1" applyBorder="1" applyAlignment="1" applyProtection="1">
      <alignment horizontal="left"/>
      <protection locked="0"/>
    </xf>
    <xf numFmtId="0" fontId="1" fillId="2" borderId="2" xfId="0" applyFont="1" applyFill="1" applyBorder="1" applyAlignment="1" applyProtection="1">
      <alignment horizontal="left" vertical="top" wrapText="1"/>
      <protection locked="0"/>
    </xf>
    <xf numFmtId="0" fontId="1" fillId="2" borderId="3" xfId="0" applyFont="1" applyFill="1" applyBorder="1" applyAlignment="1" applyProtection="1">
      <alignment horizontal="left" vertical="top" wrapText="1"/>
      <protection locked="0"/>
    </xf>
    <xf numFmtId="0" fontId="1" fillId="2" borderId="4" xfId="0" applyFont="1" applyFill="1" applyBorder="1" applyAlignment="1" applyProtection="1">
      <alignment horizontal="left" vertical="top" wrapText="1"/>
      <protection locked="0"/>
    </xf>
    <xf numFmtId="0" fontId="1" fillId="2" borderId="5" xfId="0" applyFont="1" applyFill="1" applyBorder="1" applyAlignment="1" applyProtection="1">
      <alignment horizontal="left" vertical="top" wrapText="1"/>
      <protection locked="0"/>
    </xf>
    <xf numFmtId="0" fontId="1" fillId="2" borderId="0" xfId="0" applyFont="1" applyFill="1" applyBorder="1" applyAlignment="1" applyProtection="1">
      <alignment horizontal="left" vertical="top" wrapText="1"/>
      <protection locked="0"/>
    </xf>
    <xf numFmtId="0" fontId="1" fillId="2" borderId="6" xfId="0" applyFont="1" applyFill="1" applyBorder="1" applyAlignment="1" applyProtection="1">
      <alignment horizontal="left" vertical="top" wrapText="1"/>
      <protection locked="0"/>
    </xf>
    <xf numFmtId="0" fontId="1" fillId="2" borderId="7" xfId="0" applyFont="1" applyFill="1" applyBorder="1" applyAlignment="1" applyProtection="1">
      <alignment horizontal="left" vertical="top" wrapText="1"/>
      <protection locked="0"/>
    </xf>
    <xf numFmtId="0" fontId="1" fillId="2" borderId="8" xfId="0" applyFont="1" applyFill="1" applyBorder="1" applyAlignment="1" applyProtection="1">
      <alignment horizontal="left" vertical="top" wrapText="1"/>
      <protection locked="0"/>
    </xf>
    <xf numFmtId="0" fontId="1" fillId="2" borderId="9" xfId="0" applyFont="1" applyFill="1" applyBorder="1" applyAlignment="1" applyProtection="1">
      <alignment horizontal="left" vertical="top" wrapText="1"/>
      <protection locked="0"/>
    </xf>
    <xf numFmtId="0" fontId="0" fillId="0" borderId="1" xfId="0" applyFill="1" applyBorder="1" applyAlignment="1" applyProtection="1">
      <alignment wrapText="1"/>
      <protection locked="0"/>
    </xf>
    <xf numFmtId="0" fontId="1" fillId="2" borderId="1" xfId="0" applyFont="1" applyFill="1" applyBorder="1" applyAlignment="1" applyProtection="1">
      <alignment wrapText="1"/>
      <protection hidden="1"/>
    </xf>
    <xf numFmtId="0" fontId="0" fillId="0" borderId="10" xfId="0" applyFill="1" applyBorder="1" applyAlignment="1" applyProtection="1">
      <alignment wrapText="1"/>
      <protection locked="0"/>
    </xf>
    <xf numFmtId="0" fontId="0" fillId="0" borderId="11" xfId="0" applyFill="1" applyBorder="1" applyAlignment="1" applyProtection="1">
      <alignment wrapText="1"/>
      <protection locked="0"/>
    </xf>
    <xf numFmtId="0" fontId="0" fillId="0" borderId="1" xfId="0" applyFill="1" applyBorder="1" applyAlignment="1" applyProtection="1">
      <alignment horizontal="left" wrapText="1"/>
      <protection locked="0"/>
    </xf>
    <xf numFmtId="0" fontId="18" fillId="3" borderId="0" xfId="0" applyFont="1" applyFill="1" applyBorder="1" applyAlignment="1" applyProtection="1">
      <alignment horizontal="left" vertical="center" wrapText="1"/>
      <protection locked="0"/>
    </xf>
    <xf numFmtId="0" fontId="0" fillId="3" borderId="0" xfId="0" applyFill="1" applyBorder="1" applyAlignment="1" applyProtection="1">
      <alignment horizontal="center" wrapText="1"/>
      <protection locked="0"/>
    </xf>
    <xf numFmtId="0" fontId="2" fillId="3" borderId="0" xfId="0" applyFont="1" applyFill="1" applyBorder="1" applyAlignment="1" applyProtection="1">
      <alignment horizontal="left" wrapText="1"/>
      <protection locked="0"/>
    </xf>
    <xf numFmtId="0" fontId="1" fillId="2" borderId="1" xfId="0" applyFont="1" applyFill="1" applyBorder="1" applyAlignment="1" applyProtection="1">
      <alignment horizontal="left" wrapText="1"/>
      <protection locked="0"/>
    </xf>
    <xf numFmtId="14" fontId="0" fillId="0" borderId="1" xfId="0" applyNumberFormat="1" applyFill="1" applyBorder="1" applyAlignment="1" applyProtection="1">
      <alignment horizontal="left" wrapText="1"/>
      <protection locked="0"/>
    </xf>
    <xf numFmtId="0" fontId="11" fillId="0" borderId="10" xfId="0" applyFont="1" applyFill="1" applyBorder="1" applyAlignment="1" applyProtection="1">
      <alignment horizontal="left" wrapText="1"/>
      <protection locked="0" hidden="1"/>
    </xf>
    <xf numFmtId="0" fontId="11" fillId="0" borderId="13" xfId="0" applyFont="1" applyFill="1" applyBorder="1" applyAlignment="1" applyProtection="1">
      <alignment horizontal="left" wrapText="1"/>
      <protection locked="0" hidden="1"/>
    </xf>
    <xf numFmtId="0" fontId="11" fillId="0" borderId="11" xfId="0" applyFont="1" applyFill="1" applyBorder="1" applyAlignment="1" applyProtection="1">
      <alignment horizontal="left" wrapText="1"/>
      <protection locked="0" hidden="1"/>
    </xf>
    <xf numFmtId="0" fontId="11" fillId="0" borderId="10" xfId="0" applyFont="1" applyFill="1" applyBorder="1" applyAlignment="1" applyProtection="1">
      <alignment horizontal="left"/>
      <protection locked="0" hidden="1"/>
    </xf>
    <xf numFmtId="0" fontId="11" fillId="0" borderId="11" xfId="0" applyFont="1" applyFill="1" applyBorder="1" applyAlignment="1" applyProtection="1">
      <alignment horizontal="left"/>
      <protection locked="0" hidden="1"/>
    </xf>
    <xf numFmtId="0" fontId="13" fillId="5" borderId="8" xfId="0" applyFont="1" applyFill="1" applyBorder="1" applyAlignment="1" applyProtection="1">
      <alignment horizontal="left" wrapText="1"/>
      <protection locked="0"/>
    </xf>
    <xf numFmtId="0" fontId="13" fillId="5" borderId="0" xfId="0" applyFont="1" applyFill="1" applyBorder="1" applyAlignment="1" applyProtection="1">
      <alignment horizontal="left"/>
      <protection locked="0"/>
    </xf>
    <xf numFmtId="0" fontId="15" fillId="2" borderId="10" xfId="0" applyFont="1" applyFill="1" applyBorder="1" applyAlignment="1" applyProtection="1">
      <alignment horizontal="left" vertical="top" wrapText="1"/>
      <protection locked="0"/>
    </xf>
    <xf numFmtId="0" fontId="15" fillId="2" borderId="13" xfId="0" applyFont="1" applyFill="1" applyBorder="1" applyAlignment="1" applyProtection="1">
      <alignment horizontal="left" vertical="top" wrapText="1"/>
      <protection locked="0"/>
    </xf>
    <xf numFmtId="0" fontId="15" fillId="2" borderId="11" xfId="0" applyFont="1" applyFill="1" applyBorder="1" applyAlignment="1" applyProtection="1">
      <alignment horizontal="left" vertical="top" wrapText="1"/>
      <protection locked="0"/>
    </xf>
    <xf numFmtId="0" fontId="12" fillId="5" borderId="0" xfId="0" applyFont="1" applyFill="1" applyAlignment="1" applyProtection="1">
      <alignment horizontal="left"/>
      <protection locked="0"/>
    </xf>
    <xf numFmtId="0" fontId="13" fillId="5" borderId="0" xfId="0" applyFont="1" applyFill="1" applyAlignment="1" applyProtection="1">
      <alignment horizontal="left"/>
      <protection locked="0"/>
    </xf>
    <xf numFmtId="9" fontId="12" fillId="5" borderId="0" xfId="0" applyNumberFormat="1" applyFont="1" applyFill="1" applyBorder="1" applyAlignment="1" applyProtection="1">
      <alignment horizontal="left"/>
      <protection locked="0"/>
    </xf>
    <xf numFmtId="0" fontId="11" fillId="2" borderId="21" xfId="0" applyFont="1" applyFill="1" applyBorder="1" applyAlignment="1" applyProtection="1">
      <alignment horizontal="left" vertical="center" wrapText="1"/>
      <protection locked="0"/>
    </xf>
    <xf numFmtId="0" fontId="11" fillId="2" borderId="33" xfId="0" applyFont="1" applyFill="1" applyBorder="1" applyAlignment="1" applyProtection="1">
      <alignment horizontal="left" vertical="center" wrapText="1"/>
      <protection locked="0"/>
    </xf>
    <xf numFmtId="0" fontId="11" fillId="2" borderId="25" xfId="0" applyFont="1" applyFill="1" applyBorder="1" applyAlignment="1" applyProtection="1">
      <alignment horizontal="left" vertical="center" wrapText="1"/>
      <protection locked="0"/>
    </xf>
    <xf numFmtId="0" fontId="11" fillId="2" borderId="34" xfId="0" applyFont="1" applyFill="1" applyBorder="1" applyAlignment="1" applyProtection="1">
      <alignment horizontal="left" vertical="center" wrapText="1"/>
      <protection locked="0"/>
    </xf>
    <xf numFmtId="0" fontId="11" fillId="2" borderId="27" xfId="0" applyFont="1" applyFill="1" applyBorder="1" applyAlignment="1" applyProtection="1">
      <alignment horizontal="left" vertical="center" wrapText="1"/>
      <protection locked="0"/>
    </xf>
    <xf numFmtId="0" fontId="11" fillId="2" borderId="35" xfId="0" applyFont="1" applyFill="1" applyBorder="1" applyAlignment="1" applyProtection="1">
      <alignment horizontal="left" vertical="center" wrapText="1"/>
      <protection locked="0"/>
    </xf>
    <xf numFmtId="9" fontId="11" fillId="0" borderId="16" xfId="0" applyNumberFormat="1" applyFont="1" applyFill="1" applyBorder="1" applyAlignment="1" applyProtection="1">
      <alignment horizontal="left"/>
      <protection locked="0"/>
    </xf>
    <xf numFmtId="9" fontId="11" fillId="0" borderId="18" xfId="0" applyNumberFormat="1" applyFont="1" applyFill="1" applyBorder="1" applyAlignment="1" applyProtection="1">
      <alignment horizontal="left"/>
      <protection locked="0"/>
    </xf>
    <xf numFmtId="0" fontId="13" fillId="5" borderId="0" xfId="0" applyFont="1" applyFill="1" applyBorder="1" applyAlignment="1" applyProtection="1">
      <alignment horizontal="center"/>
      <protection locked="0"/>
    </xf>
    <xf numFmtId="0" fontId="11" fillId="2" borderId="22" xfId="0" applyFont="1" applyFill="1" applyBorder="1" applyAlignment="1" applyProtection="1">
      <alignment horizontal="left" vertical="center" wrapText="1"/>
      <protection locked="0"/>
    </xf>
    <xf numFmtId="0" fontId="11" fillId="2" borderId="23" xfId="0" applyFont="1" applyFill="1" applyBorder="1" applyAlignment="1" applyProtection="1">
      <alignment horizontal="left" vertical="center" wrapText="1"/>
      <protection locked="0"/>
    </xf>
    <xf numFmtId="0" fontId="11" fillId="2" borderId="0" xfId="0" applyFont="1" applyFill="1" applyBorder="1" applyAlignment="1" applyProtection="1">
      <alignment horizontal="left" vertical="center" wrapText="1"/>
      <protection locked="0"/>
    </xf>
    <xf numFmtId="0" fontId="11" fillId="2" borderId="6" xfId="0" applyFont="1" applyFill="1" applyBorder="1" applyAlignment="1" applyProtection="1">
      <alignment horizontal="left" vertical="center" wrapText="1"/>
      <protection locked="0"/>
    </xf>
    <xf numFmtId="0" fontId="11" fillId="2" borderId="28" xfId="0" applyFont="1" applyFill="1" applyBorder="1" applyAlignment="1" applyProtection="1">
      <alignment horizontal="left" vertical="center" wrapText="1"/>
      <protection locked="0"/>
    </xf>
    <xf numFmtId="0" fontId="11" fillId="2" borderId="29" xfId="0" applyFont="1" applyFill="1" applyBorder="1" applyAlignment="1" applyProtection="1">
      <alignment horizontal="left" vertical="center" wrapText="1"/>
      <protection locked="0"/>
    </xf>
    <xf numFmtId="0" fontId="11" fillId="5" borderId="0" xfId="0" applyFont="1" applyFill="1" applyBorder="1" applyAlignment="1" applyProtection="1">
      <alignment horizontal="left" wrapText="1"/>
      <protection locked="0"/>
    </xf>
    <xf numFmtId="0" fontId="11" fillId="0" borderId="16" xfId="0" applyFont="1" applyFill="1" applyBorder="1" applyAlignment="1" applyProtection="1">
      <alignment horizontal="left" vertical="top" wrapText="1"/>
      <protection locked="0"/>
    </xf>
    <xf numFmtId="0" fontId="11" fillId="0" borderId="17" xfId="0" applyFont="1" applyFill="1" applyBorder="1" applyAlignment="1" applyProtection="1">
      <alignment horizontal="left" vertical="top" wrapText="1"/>
      <protection locked="0"/>
    </xf>
    <xf numFmtId="0" fontId="11" fillId="0" borderId="18" xfId="0" applyFont="1" applyFill="1" applyBorder="1" applyAlignment="1" applyProtection="1">
      <alignment horizontal="left" vertical="top" wrapText="1"/>
      <protection locked="0"/>
    </xf>
    <xf numFmtId="0" fontId="15" fillId="2" borderId="16" xfId="0" applyFont="1" applyFill="1" applyBorder="1" applyAlignment="1" applyProtection="1">
      <alignment horizontal="left" vertical="top" wrapText="1"/>
      <protection locked="0"/>
    </xf>
    <xf numFmtId="0" fontId="14" fillId="2" borderId="17" xfId="0" applyFont="1" applyFill="1" applyBorder="1" applyAlignment="1" applyProtection="1">
      <alignment horizontal="left" vertical="top"/>
      <protection locked="0"/>
    </xf>
    <xf numFmtId="0" fontId="14" fillId="2" borderId="18" xfId="0" applyFont="1" applyFill="1" applyBorder="1" applyAlignment="1" applyProtection="1">
      <alignment horizontal="left" vertical="top"/>
      <protection locked="0"/>
    </xf>
    <xf numFmtId="0" fontId="11" fillId="5" borderId="0" xfId="0" applyFont="1" applyFill="1" applyBorder="1" applyAlignment="1" applyProtection="1">
      <alignment horizontal="center" vertical="center" wrapText="1"/>
      <protection locked="0"/>
    </xf>
    <xf numFmtId="0" fontId="11" fillId="0" borderId="2" xfId="0" applyFont="1" applyFill="1" applyBorder="1" applyAlignment="1" applyProtection="1">
      <alignment horizontal="left" vertical="top"/>
      <protection locked="0"/>
    </xf>
    <xf numFmtId="0" fontId="11" fillId="0" borderId="3" xfId="0" applyFont="1" applyFill="1" applyBorder="1" applyAlignment="1" applyProtection="1">
      <alignment horizontal="left" vertical="top"/>
      <protection locked="0"/>
    </xf>
    <xf numFmtId="0" fontId="11" fillId="0" borderId="4" xfId="0" applyFont="1" applyFill="1" applyBorder="1" applyAlignment="1" applyProtection="1">
      <alignment horizontal="left" vertical="top"/>
      <protection locked="0"/>
    </xf>
    <xf numFmtId="0" fontId="11" fillId="0" borderId="5" xfId="0" applyFont="1" applyFill="1" applyBorder="1" applyAlignment="1" applyProtection="1">
      <alignment horizontal="left" vertical="top"/>
      <protection locked="0"/>
    </xf>
    <xf numFmtId="0" fontId="11" fillId="0" borderId="0" xfId="0" applyFont="1" applyFill="1" applyBorder="1" applyAlignment="1" applyProtection="1">
      <alignment horizontal="left" vertical="top"/>
      <protection locked="0"/>
    </xf>
    <xf numFmtId="0" fontId="11" fillId="0" borderId="6" xfId="0" applyFont="1" applyFill="1" applyBorder="1" applyAlignment="1" applyProtection="1">
      <alignment horizontal="left" vertical="top"/>
      <protection locked="0"/>
    </xf>
    <xf numFmtId="0" fontId="11" fillId="0" borderId="7" xfId="0" applyFont="1" applyFill="1" applyBorder="1" applyAlignment="1" applyProtection="1">
      <alignment horizontal="left" vertical="top"/>
      <protection locked="0"/>
    </xf>
    <xf numFmtId="0" fontId="11" fillId="0" borderId="8" xfId="0" applyFont="1" applyFill="1" applyBorder="1" applyAlignment="1" applyProtection="1">
      <alignment horizontal="left" vertical="top"/>
      <protection locked="0"/>
    </xf>
    <xf numFmtId="0" fontId="11" fillId="0" borderId="9" xfId="0" applyFont="1" applyFill="1" applyBorder="1" applyAlignment="1" applyProtection="1">
      <alignment horizontal="left" vertical="top"/>
      <protection locked="0"/>
    </xf>
    <xf numFmtId="0" fontId="11" fillId="5" borderId="0" xfId="0" applyFont="1" applyFill="1" applyAlignment="1" applyProtection="1">
      <alignment horizontal="left" vertical="top" wrapText="1"/>
      <protection locked="0"/>
    </xf>
    <xf numFmtId="0" fontId="14" fillId="2" borderId="13"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3" fillId="5" borderId="0" xfId="0" applyFont="1" applyFill="1" applyAlignment="1" applyProtection="1">
      <alignment horizontal="left" wrapText="1"/>
      <protection locked="0"/>
    </xf>
    <xf numFmtId="0" fontId="11" fillId="0" borderId="10" xfId="0" applyFont="1" applyFill="1" applyBorder="1" applyAlignment="1" applyProtection="1">
      <alignment horizontal="left" vertical="top" wrapText="1"/>
      <protection locked="0"/>
    </xf>
    <xf numFmtId="0" fontId="11" fillId="0" borderId="13" xfId="0" applyFont="1" applyFill="1" applyBorder="1" applyAlignment="1" applyProtection="1">
      <alignment horizontal="left" vertical="top" wrapText="1"/>
      <protection locked="0"/>
    </xf>
    <xf numFmtId="0" fontId="11" fillId="0" borderId="11" xfId="0" applyFont="1" applyFill="1" applyBorder="1" applyAlignment="1" applyProtection="1">
      <alignment horizontal="left" vertical="top" wrapText="1"/>
      <protection locked="0"/>
    </xf>
    <xf numFmtId="0" fontId="0" fillId="0" borderId="0" xfId="0" applyAlignment="1">
      <alignment horizontal="center" wrapText="1"/>
    </xf>
    <xf numFmtId="9" fontId="13" fillId="5" borderId="0" xfId="0" applyNumberFormat="1" applyFont="1" applyFill="1" applyBorder="1" applyAlignment="1" applyProtection="1">
      <alignment horizontal="left"/>
      <protection locked="0"/>
    </xf>
    <xf numFmtId="9" fontId="11" fillId="5" borderId="0" xfId="0" applyNumberFormat="1" applyFont="1" applyFill="1" applyBorder="1" applyAlignment="1" applyProtection="1">
      <alignment horizontal="left"/>
      <protection locked="0"/>
    </xf>
    <xf numFmtId="0" fontId="13" fillId="5" borderId="0" xfId="0" applyNumberFormat="1" applyFont="1" applyFill="1" applyBorder="1" applyAlignment="1" applyProtection="1">
      <alignment horizontal="right"/>
      <protection locked="0"/>
    </xf>
    <xf numFmtId="0" fontId="0" fillId="0" borderId="0" xfId="0" applyFont="1" applyProtection="1">
      <protection locked="0"/>
    </xf>
    <xf numFmtId="9" fontId="12" fillId="5" borderId="25" xfId="0" applyNumberFormat="1" applyFont="1" applyFill="1" applyBorder="1" applyAlignment="1" applyProtection="1">
      <alignment horizontal="left"/>
      <protection locked="0"/>
    </xf>
    <xf numFmtId="9" fontId="13" fillId="2" borderId="33" xfId="0" applyNumberFormat="1" applyFont="1" applyFill="1" applyBorder="1" applyAlignment="1" applyProtection="1">
      <alignment horizontal="left" vertical="center"/>
      <protection locked="0"/>
    </xf>
    <xf numFmtId="9" fontId="13" fillId="2" borderId="25" xfId="0" applyNumberFormat="1" applyFont="1" applyFill="1" applyBorder="1" applyAlignment="1" applyProtection="1">
      <alignment horizontal="left" vertical="center"/>
      <protection locked="0"/>
    </xf>
    <xf numFmtId="9" fontId="13" fillId="2" borderId="34" xfId="0" applyNumberFormat="1" applyFont="1" applyFill="1" applyBorder="1" applyAlignment="1" applyProtection="1">
      <alignment horizontal="left" vertical="center"/>
      <protection locked="0"/>
    </xf>
    <xf numFmtId="9" fontId="13" fillId="2" borderId="27" xfId="0" applyNumberFormat="1" applyFont="1" applyFill="1" applyBorder="1" applyAlignment="1" applyProtection="1">
      <alignment horizontal="left" vertical="center"/>
      <protection locked="0"/>
    </xf>
    <xf numFmtId="9" fontId="13" fillId="2" borderId="35" xfId="0" applyNumberFormat="1" applyFont="1" applyFill="1" applyBorder="1" applyAlignment="1" applyProtection="1">
      <alignment horizontal="left" vertical="center"/>
      <protection locked="0"/>
    </xf>
    <xf numFmtId="9" fontId="11" fillId="2" borderId="21" xfId="0" applyNumberFormat="1" applyFont="1" applyFill="1" applyBorder="1" applyAlignment="1" applyProtection="1">
      <alignment horizontal="left" vertical="center" wrapText="1"/>
      <protection locked="0"/>
    </xf>
    <xf numFmtId="0" fontId="13" fillId="5" borderId="25" xfId="0" applyNumberFormat="1" applyFont="1" applyFill="1" applyBorder="1" applyAlignment="1" applyProtection="1">
      <alignment horizontal="right"/>
      <protection locked="0"/>
    </xf>
    <xf numFmtId="9" fontId="11" fillId="4" borderId="26" xfId="0" applyNumberFormat="1" applyFont="1" applyFill="1" applyBorder="1" applyAlignment="1" applyProtection="1">
      <alignment horizontal="left"/>
      <protection locked="0"/>
    </xf>
    <xf numFmtId="9" fontId="11" fillId="4" borderId="30" xfId="0" applyNumberFormat="1" applyFont="1" applyFill="1" applyBorder="1" applyAlignment="1" applyProtection="1">
      <alignment horizontal="left"/>
      <protection locked="0"/>
    </xf>
    <xf numFmtId="9" fontId="11" fillId="4" borderId="42" xfId="0" applyNumberFormat="1" applyFont="1" applyFill="1" applyBorder="1" applyAlignment="1" applyProtection="1">
      <alignment horizontal="left"/>
      <protection locked="0"/>
    </xf>
    <xf numFmtId="9" fontId="11" fillId="4" borderId="44" xfId="0" applyNumberFormat="1" applyFont="1" applyFill="1" applyBorder="1" applyAlignment="1" applyProtection="1">
      <alignment horizontal="left"/>
      <protection locked="0"/>
    </xf>
    <xf numFmtId="9" fontId="11" fillId="2" borderId="33" xfId="0" applyNumberFormat="1" applyFont="1" applyFill="1" applyBorder="1" applyAlignment="1" applyProtection="1">
      <alignment horizontal="left" vertical="center"/>
      <protection locked="0"/>
    </xf>
    <xf numFmtId="9" fontId="11" fillId="2" borderId="25" xfId="0" applyNumberFormat="1" applyFont="1" applyFill="1" applyBorder="1" applyAlignment="1" applyProtection="1">
      <alignment horizontal="left" vertical="center"/>
      <protection locked="0"/>
    </xf>
    <xf numFmtId="9" fontId="11" fillId="2" borderId="34" xfId="0" applyNumberFormat="1" applyFont="1" applyFill="1" applyBorder="1" applyAlignment="1" applyProtection="1">
      <alignment horizontal="left" vertical="center"/>
      <protection locked="0"/>
    </xf>
    <xf numFmtId="9" fontId="11" fillId="2" borderId="27" xfId="0" applyNumberFormat="1" applyFont="1" applyFill="1" applyBorder="1" applyAlignment="1" applyProtection="1">
      <alignment horizontal="left" vertical="center"/>
      <protection locked="0"/>
    </xf>
    <xf numFmtId="9" fontId="11" fillId="2" borderId="35" xfId="0" applyNumberFormat="1" applyFont="1" applyFill="1" applyBorder="1" applyAlignment="1" applyProtection="1">
      <alignment horizontal="left" vertical="center"/>
      <protection locked="0"/>
    </xf>
    <xf numFmtId="9" fontId="19" fillId="5" borderId="0" xfId="0" applyNumberFormat="1" applyFont="1" applyFill="1" applyBorder="1" applyAlignment="1" applyProtection="1">
      <alignment horizontal="left"/>
      <protection locked="0"/>
    </xf>
    <xf numFmtId="0" fontId="0" fillId="5" borderId="0" xfId="0" applyFill="1" applyBorder="1"/>
    <xf numFmtId="9" fontId="11" fillId="5" borderId="0" xfId="0" applyNumberFormat="1" applyFont="1" applyFill="1" applyBorder="1" applyAlignment="1" applyProtection="1">
      <alignment horizontal="left" vertical="center"/>
      <protection locked="0"/>
    </xf>
    <xf numFmtId="0" fontId="0" fillId="5" borderId="36" xfId="0" applyFill="1" applyBorder="1"/>
    <xf numFmtId="9" fontId="11" fillId="5" borderId="37" xfId="0" applyNumberFormat="1" applyFont="1" applyFill="1" applyBorder="1" applyAlignment="1" applyProtection="1">
      <alignment horizontal="left"/>
      <protection locked="0"/>
    </xf>
    <xf numFmtId="0" fontId="0" fillId="5" borderId="38" xfId="0" applyFill="1" applyBorder="1"/>
    <xf numFmtId="0" fontId="11" fillId="5" borderId="39" xfId="4" applyFont="1" applyFill="1" applyBorder="1" applyAlignment="1" applyProtection="1">
      <alignment vertical="top" wrapText="1"/>
      <protection locked="0"/>
    </xf>
    <xf numFmtId="0" fontId="0" fillId="5" borderId="40" xfId="0" applyFill="1" applyBorder="1"/>
    <xf numFmtId="0" fontId="11" fillId="5" borderId="41" xfId="4" applyFont="1" applyFill="1" applyBorder="1" applyAlignment="1" applyProtection="1">
      <alignment vertical="top" wrapText="1"/>
      <protection locked="0"/>
    </xf>
    <xf numFmtId="0" fontId="11" fillId="5" borderId="37" xfId="4" applyFont="1" applyFill="1" applyBorder="1" applyAlignment="1" applyProtection="1">
      <alignment vertical="top" wrapText="1"/>
      <protection locked="0"/>
    </xf>
    <xf numFmtId="9" fontId="11" fillId="2" borderId="33" xfId="0" applyNumberFormat="1" applyFont="1" applyFill="1" applyBorder="1" applyAlignment="1" applyProtection="1">
      <alignment horizontal="left" vertical="center" wrapText="1"/>
      <protection locked="0"/>
    </xf>
    <xf numFmtId="9" fontId="11" fillId="2" borderId="25" xfId="0" applyNumberFormat="1" applyFont="1" applyFill="1" applyBorder="1" applyAlignment="1" applyProtection="1">
      <alignment horizontal="left" vertical="center" wrapText="1"/>
      <protection locked="0"/>
    </xf>
    <xf numFmtId="9" fontId="11" fillId="2" borderId="34" xfId="0" applyNumberFormat="1" applyFont="1" applyFill="1" applyBorder="1" applyAlignment="1" applyProtection="1">
      <alignment horizontal="left" vertical="center" wrapText="1"/>
      <protection locked="0"/>
    </xf>
    <xf numFmtId="9" fontId="11" fillId="2" borderId="27" xfId="0" applyNumberFormat="1" applyFont="1" applyFill="1" applyBorder="1" applyAlignment="1" applyProtection="1">
      <alignment horizontal="left" vertical="center" wrapText="1"/>
      <protection locked="0"/>
    </xf>
    <xf numFmtId="9" fontId="11" fillId="2" borderId="35" xfId="0" applyNumberFormat="1" applyFont="1" applyFill="1" applyBorder="1" applyAlignment="1" applyProtection="1">
      <alignment horizontal="left" vertical="center" wrapText="1"/>
      <protection locked="0"/>
    </xf>
    <xf numFmtId="0" fontId="11" fillId="5" borderId="0" xfId="4" applyFont="1" applyFill="1" applyBorder="1" applyAlignment="1" applyProtection="1">
      <alignment horizontal="center" vertical="top" wrapText="1"/>
      <protection locked="0"/>
    </xf>
    <xf numFmtId="0" fontId="19" fillId="5" borderId="0" xfId="4" applyFont="1" applyFill="1" applyBorder="1" applyAlignment="1" applyProtection="1">
      <alignment horizontal="left" vertical="center" wrapText="1"/>
      <protection locked="0"/>
    </xf>
    <xf numFmtId="0" fontId="3" fillId="0" borderId="0" xfId="0" applyFont="1" applyFill="1" applyBorder="1"/>
    <xf numFmtId="9" fontId="11" fillId="4" borderId="43" xfId="0" applyNumberFormat="1" applyFont="1" applyFill="1" applyBorder="1" applyAlignment="1" applyProtection="1">
      <alignment horizontal="left"/>
      <protection locked="0"/>
    </xf>
    <xf numFmtId="9" fontId="11" fillId="4" borderId="24" xfId="0" applyNumberFormat="1" applyFont="1" applyFill="1" applyBorder="1" applyAlignment="1" applyProtection="1">
      <alignment horizontal="left"/>
      <protection locked="0"/>
    </xf>
    <xf numFmtId="0" fontId="12" fillId="5" borderId="21" xfId="0" applyFont="1" applyFill="1" applyBorder="1" applyAlignment="1" applyProtection="1">
      <alignment horizontal="left"/>
      <protection locked="0"/>
    </xf>
    <xf numFmtId="0" fontId="12" fillId="5" borderId="22" xfId="0" applyFont="1" applyFill="1" applyBorder="1" applyAlignment="1" applyProtection="1">
      <alignment horizontal="left"/>
      <protection locked="0"/>
    </xf>
    <xf numFmtId="0" fontId="0" fillId="5" borderId="33" xfId="0" applyFill="1" applyBorder="1" applyProtection="1">
      <protection locked="0"/>
    </xf>
    <xf numFmtId="0" fontId="12" fillId="5" borderId="25" xfId="0" applyFont="1" applyFill="1" applyBorder="1" applyAlignment="1" applyProtection="1">
      <alignment horizontal="left"/>
      <protection locked="0"/>
    </xf>
    <xf numFmtId="0" fontId="0" fillId="5" borderId="34" xfId="0" applyFill="1" applyBorder="1" applyProtection="1">
      <protection locked="0"/>
    </xf>
    <xf numFmtId="0" fontId="11" fillId="5" borderId="25" xfId="0" applyFont="1" applyFill="1" applyBorder="1" applyAlignment="1" applyProtection="1">
      <alignment horizontal="left"/>
      <protection locked="0"/>
    </xf>
    <xf numFmtId="0" fontId="13" fillId="5" borderId="0" xfId="0" applyFont="1" applyFill="1" applyBorder="1" applyProtection="1">
      <protection locked="0"/>
    </xf>
    <xf numFmtId="0" fontId="12" fillId="5" borderId="25" xfId="0" applyFont="1" applyFill="1" applyBorder="1" applyAlignment="1" applyProtection="1">
      <alignment horizontal="left"/>
      <protection locked="0"/>
    </xf>
    <xf numFmtId="0" fontId="12" fillId="5" borderId="0" xfId="0" applyFont="1" applyFill="1" applyBorder="1" applyAlignment="1" applyProtection="1">
      <alignment horizontal="left"/>
      <protection locked="0"/>
    </xf>
    <xf numFmtId="0" fontId="11" fillId="5" borderId="25" xfId="0" applyFont="1" applyFill="1" applyBorder="1" applyProtection="1">
      <protection locked="0"/>
    </xf>
    <xf numFmtId="0" fontId="11" fillId="5" borderId="0" xfId="0" applyFont="1" applyFill="1" applyBorder="1" applyAlignment="1" applyProtection="1">
      <alignment wrapText="1"/>
      <protection locked="0"/>
    </xf>
    <xf numFmtId="0" fontId="19" fillId="5" borderId="34" xfId="0" applyFont="1" applyFill="1" applyBorder="1" applyProtection="1">
      <protection locked="0"/>
    </xf>
    <xf numFmtId="0" fontId="11" fillId="5" borderId="0" xfId="0" applyFont="1" applyFill="1" applyBorder="1" applyAlignment="1" applyProtection="1">
      <alignment horizontal="left" vertical="top" wrapText="1"/>
      <protection locked="0"/>
    </xf>
    <xf numFmtId="9" fontId="12" fillId="5" borderId="25" xfId="0" applyNumberFormat="1" applyFont="1" applyFill="1" applyBorder="1" applyAlignment="1" applyProtection="1">
      <alignment horizontal="left"/>
      <protection locked="0"/>
    </xf>
    <xf numFmtId="9" fontId="13" fillId="5" borderId="25" xfId="0" applyNumberFormat="1" applyFont="1" applyFill="1" applyBorder="1" applyAlignment="1" applyProtection="1">
      <alignment horizontal="left"/>
      <protection locked="0"/>
    </xf>
    <xf numFmtId="0" fontId="0" fillId="5" borderId="34" xfId="0" applyFont="1" applyFill="1" applyBorder="1" applyProtection="1">
      <protection locked="0"/>
    </xf>
    <xf numFmtId="0" fontId="13" fillId="5" borderId="25" xfId="0" applyNumberFormat="1" applyFont="1" applyFill="1" applyBorder="1" applyAlignment="1" applyProtection="1">
      <alignment horizontal="left"/>
      <protection locked="0"/>
    </xf>
    <xf numFmtId="0" fontId="11" fillId="5" borderId="0" xfId="0" applyFont="1" applyFill="1" applyBorder="1" applyAlignment="1" applyProtection="1">
      <alignment vertical="center" wrapText="1"/>
      <protection locked="0"/>
    </xf>
    <xf numFmtId="9" fontId="12" fillId="5" borderId="27" xfId="0" applyNumberFormat="1" applyFont="1" applyFill="1" applyBorder="1" applyAlignment="1" applyProtection="1">
      <alignment horizontal="left"/>
      <protection locked="0"/>
    </xf>
    <xf numFmtId="9" fontId="12" fillId="5" borderId="28" xfId="0" applyNumberFormat="1" applyFont="1" applyFill="1" applyBorder="1" applyAlignment="1" applyProtection="1">
      <alignment horizontal="left"/>
      <protection locked="0"/>
    </xf>
    <xf numFmtId="0" fontId="0" fillId="5" borderId="35" xfId="0" applyFill="1" applyBorder="1" applyProtection="1">
      <protection locked="0"/>
    </xf>
    <xf numFmtId="0" fontId="12" fillId="5" borderId="21" xfId="0" applyFont="1" applyFill="1" applyBorder="1" applyAlignment="1" applyProtection="1">
      <alignment horizontal="left"/>
      <protection locked="0"/>
    </xf>
    <xf numFmtId="0" fontId="12" fillId="5" borderId="22" xfId="0" applyFont="1" applyFill="1" applyBorder="1" applyAlignment="1" applyProtection="1">
      <alignment horizontal="left"/>
      <protection locked="0"/>
    </xf>
    <xf numFmtId="0" fontId="13" fillId="5" borderId="25" xfId="0" applyFont="1" applyFill="1" applyBorder="1" applyProtection="1">
      <protection locked="0" hidden="1"/>
    </xf>
    <xf numFmtId="0" fontId="17" fillId="5" borderId="0" xfId="0" applyFont="1" applyFill="1" applyBorder="1" applyProtection="1">
      <protection locked="0" hidden="1"/>
    </xf>
    <xf numFmtId="0" fontId="0" fillId="5" borderId="34" xfId="0" applyFill="1" applyBorder="1" applyProtection="1">
      <protection locked="0" hidden="1"/>
    </xf>
    <xf numFmtId="0" fontId="11" fillId="5" borderId="0" xfId="0" applyFont="1" applyFill="1" applyBorder="1" applyAlignment="1" applyProtection="1">
      <alignment wrapText="1"/>
      <protection locked="0" hidden="1"/>
    </xf>
    <xf numFmtId="0" fontId="11" fillId="5" borderId="27" xfId="0" applyFont="1" applyFill="1" applyBorder="1" applyProtection="1">
      <protection locked="0"/>
    </xf>
    <xf numFmtId="0" fontId="11" fillId="5" borderId="28" xfId="0" applyFont="1" applyFill="1" applyBorder="1" applyAlignment="1" applyProtection="1">
      <alignment wrapText="1"/>
      <protection locked="0"/>
    </xf>
    <xf numFmtId="0" fontId="11" fillId="5" borderId="28" xfId="0" applyFont="1" applyFill="1" applyBorder="1" applyProtection="1">
      <protection locked="0"/>
    </xf>
    <xf numFmtId="0" fontId="0" fillId="5" borderId="0" xfId="0" applyFill="1" applyBorder="1" applyProtection="1">
      <protection locked="0"/>
    </xf>
  </cellXfs>
  <cellStyles count="5">
    <cellStyle name="Good" xfId="4" builtinId="26"/>
    <cellStyle name="Normal" xfId="0" builtinId="0"/>
    <cellStyle name="Normal 2" xfId="2" xr:uid="{87737C8F-61E0-4DF6-BA84-FF0ADF534884}"/>
    <cellStyle name="Normal 3" xfId="1" xr:uid="{719E74D3-F8E4-4743-84D2-77CBA0BC41C6}"/>
    <cellStyle name="Normal 4" xfId="3" xr:uid="{0E3479FE-DA31-4714-B769-BFF1C9D05F10}"/>
  </cellStyles>
  <dxfs count="16">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FFC7CE"/>
      <color rgb="FFD6DCDA"/>
      <color rgb="FFC6EFCE"/>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J$30" lockText="1"/>
</file>

<file path=xl/ctrlProps/ctrlProp3.xml><?xml version="1.0" encoding="utf-8"?>
<formControlPr xmlns="http://schemas.microsoft.com/office/spreadsheetml/2009/9/main" objectType="CheckBox" fmlaLink="$J$31" lockText="1"/>
</file>

<file path=xl/ctrlProps/ctrlProp4.xml><?xml version="1.0" encoding="utf-8"?>
<formControlPr xmlns="http://schemas.microsoft.com/office/spreadsheetml/2009/9/main" objectType="CheckBox" fmlaLink="$D$41" lockText="1"/>
</file>

<file path=xl/ctrlProps/ctrlProp5.xml><?xml version="1.0" encoding="utf-8"?>
<formControlPr xmlns="http://schemas.microsoft.com/office/spreadsheetml/2009/9/main" objectType="CheckBox" fmlaLink="$D$43" lockText="1"/>
</file>

<file path=xl/ctrlProps/ctrlProp6.xml><?xml version="1.0" encoding="utf-8"?>
<formControlPr xmlns="http://schemas.microsoft.com/office/spreadsheetml/2009/9/main" objectType="CheckBox" fmlaLink="$D$42" lockText="1"/>
</file>

<file path=xl/ctrlProps/ctrlProp7.xml><?xml version="1.0" encoding="utf-8"?>
<formControlPr xmlns="http://schemas.microsoft.com/office/spreadsheetml/2009/9/main" objectType="CheckBox" fmlaLink="$D$44" lockText="1"/>
</file>

<file path=xl/ctrlProps/ctrlProp8.xml><?xml version="1.0" encoding="utf-8"?>
<formControlPr xmlns="http://schemas.microsoft.com/office/spreadsheetml/2009/9/main" objectType="CheckBox" fmlaLink="$D$45" lockText="1"/>
</file>

<file path=xl/ctrlProps/ctrlProp9.xml><?xml version="1.0" encoding="utf-8"?>
<formControlPr xmlns="http://schemas.microsoft.com/office/spreadsheetml/2009/9/main" objectType="CheckBox" checked="Checked" fmlaLink="$D$46" lockText="1"/>
</file>

<file path=xl/ctrlProps/ctrlProp10.xml><?xml version="1.0" encoding="utf-8"?>
<formControlPr xmlns="http://schemas.microsoft.com/office/spreadsheetml/2009/9/main" objectType="CheckBox" fmlaLink="$D$47" lockText="1"/>
</file>

<file path=xl/ctrlProps/ctrlProp11.xml><?xml version="1.0" encoding="utf-8"?>
<formControlPr xmlns="http://schemas.microsoft.com/office/spreadsheetml/2009/9/main" objectType="CheckBox" fmlaLink="$D$48" lockText="1"/>
</file>

<file path=xl/ctrlProps/ctrlProp12.xml><?xml version="1.0" encoding="utf-8"?>
<formControlPr xmlns="http://schemas.microsoft.com/office/spreadsheetml/2009/9/main" objectType="CheckBox" fmlaLink="$G$41" lockText="1"/>
</file>

<file path=xl/ctrlProps/ctrlProp13.xml><?xml version="1.0" encoding="utf-8"?>
<formControlPr xmlns="http://schemas.microsoft.com/office/spreadsheetml/2009/9/main" objectType="CheckBox" fmlaLink="$G$42" lockText="1"/>
</file>

<file path=xl/ctrlProps/ctrlProp14.xml><?xml version="1.0" encoding="utf-8"?>
<formControlPr xmlns="http://schemas.microsoft.com/office/spreadsheetml/2009/9/main" objectType="CheckBox" checked="Checked" fmlaLink="$G$43" lockText="1"/>
</file>

<file path=xl/ctrlProps/ctrlProp15.xml><?xml version="1.0" encoding="utf-8"?>
<formControlPr xmlns="http://schemas.microsoft.com/office/spreadsheetml/2009/9/main" objectType="CheckBox" fmlaLink="$G$44" lockText="1"/>
</file>

<file path=xl/ctrlProps/ctrlProp16.xml><?xml version="1.0" encoding="utf-8"?>
<formControlPr xmlns="http://schemas.microsoft.com/office/spreadsheetml/2009/9/main" objectType="CheckBox" fmlaLink="$G$45" lockText="1"/>
</file>

<file path=xl/ctrlProps/ctrlProp17.xml><?xml version="1.0" encoding="utf-8"?>
<formControlPr xmlns="http://schemas.microsoft.com/office/spreadsheetml/2009/9/main" objectType="CheckBox" fmlaLink="$G$46" lockText="1"/>
</file>

<file path=xl/ctrlProps/ctrlProp18.xml><?xml version="1.0" encoding="utf-8"?>
<formControlPr xmlns="http://schemas.microsoft.com/office/spreadsheetml/2009/9/main" objectType="CheckBox" fmlaLink="$D$70" lockText="1"/>
</file>

<file path=xl/ctrlProps/ctrlProp19.xml><?xml version="1.0" encoding="utf-8"?>
<formControlPr xmlns="http://schemas.microsoft.com/office/spreadsheetml/2009/9/main" objectType="CheckBox" checked="Checked" fmlaLink="$D$71" lockText="1"/>
</file>

<file path=xl/ctrlProps/ctrlProp20.xml><?xml version="1.0" encoding="utf-8"?>
<formControlPr xmlns="http://schemas.microsoft.com/office/spreadsheetml/2009/9/main" objectType="CheckBox" fmlaLink="$D$72" lockText="1"/>
</file>

<file path=xl/ctrlProps/ctrlProp21.xml><?xml version="1.0" encoding="utf-8"?>
<formControlPr xmlns="http://schemas.microsoft.com/office/spreadsheetml/2009/9/main" objectType="CheckBox" fmlaLink="$D$73" lockText="1"/>
</file>

<file path=xl/ctrlProps/ctrlProp22.xml><?xml version="1.0" encoding="utf-8"?>
<formControlPr xmlns="http://schemas.microsoft.com/office/spreadsheetml/2009/9/main" objectType="CheckBox" checked="Checked" fmlaLink="$D$74" lockText="1"/>
</file>

<file path=xl/ctrlProps/ctrlProp23.xml><?xml version="1.0" encoding="utf-8"?>
<formControlPr xmlns="http://schemas.microsoft.com/office/spreadsheetml/2009/9/main" objectType="CheckBox" fmlaLink="$D$75" lockText="1"/>
</file>

<file path=xl/ctrlProps/ctrlProp24.xml><?xml version="1.0" encoding="utf-8"?>
<formControlPr xmlns="http://schemas.microsoft.com/office/spreadsheetml/2009/9/main" objectType="CheckBox" fmlaLink="$D$76" lockText="1"/>
</file>

<file path=xl/ctrlProps/ctrlProp25.xml><?xml version="1.0" encoding="utf-8"?>
<formControlPr xmlns="http://schemas.microsoft.com/office/spreadsheetml/2009/9/main" objectType="CheckBox" fmlaLink="$D$77" lockText="1"/>
</file>

<file path=xl/ctrlProps/ctrlProp26.xml><?xml version="1.0" encoding="utf-8"?>
<formControlPr xmlns="http://schemas.microsoft.com/office/spreadsheetml/2009/9/main" objectType="CheckBox" checked="Checked" fmlaLink="$D$87" lockText="1"/>
</file>

<file path=xl/ctrlProps/ctrlProp27.xml><?xml version="1.0" encoding="utf-8"?>
<formControlPr xmlns="http://schemas.microsoft.com/office/spreadsheetml/2009/9/main" objectType="CheckBox" checked="Checked" fmlaLink="$D$88" lockText="1"/>
</file>

<file path=xl/ctrlProps/ctrlProp28.xml><?xml version="1.0" encoding="utf-8"?>
<formControlPr xmlns="http://schemas.microsoft.com/office/spreadsheetml/2009/9/main" objectType="CheckBox" checked="Checked" fmlaLink="$D$89" lockText="1"/>
</file>

<file path=xl/ctrlProps/ctrlProp29.xml><?xml version="1.0" encoding="utf-8"?>
<formControlPr xmlns="http://schemas.microsoft.com/office/spreadsheetml/2009/9/main" objectType="CheckBox" checked="Checked" fmlaLink="$D$90" lockText="1"/>
</file>

<file path=xl/ctrlProps/ctrlProp30.xml><?xml version="1.0" encoding="utf-8"?>
<formControlPr xmlns="http://schemas.microsoft.com/office/spreadsheetml/2009/9/main" objectType="CheckBox" fmlaLink="$D$114" lockText="1"/>
</file>

<file path=xl/ctrlProps/ctrlProp31.xml><?xml version="1.0" encoding="utf-8"?>
<formControlPr xmlns="http://schemas.microsoft.com/office/spreadsheetml/2009/9/main" objectType="CheckBox" fmlaLink="$G$30" lockText="1"/>
</file>

<file path=xl/ctrlProps/ctrlProp32.xml><?xml version="1.0" encoding="utf-8"?>
<formControlPr xmlns="http://schemas.microsoft.com/office/spreadsheetml/2009/9/main" objectType="CheckBox" fmlaLink="$G$31" lockText="1"/>
</file>

<file path=xl/ctrlProps/ctrlProp33.xml><?xml version="1.0" encoding="utf-8"?>
<formControlPr xmlns="http://schemas.microsoft.com/office/spreadsheetml/2009/9/main" objectType="CheckBox" fmlaLink="$G$32" lockText="1"/>
</file>

<file path=xl/ctrlProps/ctrlProp34.xml><?xml version="1.0" encoding="utf-8"?>
<formControlPr xmlns="http://schemas.microsoft.com/office/spreadsheetml/2009/9/main" objectType="CheckBox" fmlaLink="$G$33" lockText="1"/>
</file>

<file path=xl/ctrlProps/ctrlProp35.xml><?xml version="1.0" encoding="utf-8"?>
<formControlPr xmlns="http://schemas.microsoft.com/office/spreadsheetml/2009/9/main" objectType="CheckBox" checked="Checked" fmlaLink="$G$34" lockText="1"/>
</file>

<file path=xl/ctrlProps/ctrlProp36.xml><?xml version="1.0" encoding="utf-8"?>
<formControlPr xmlns="http://schemas.microsoft.com/office/spreadsheetml/2009/9/main" objectType="CheckBox" checked="Checked" fmlaLink="$G$35" lockText="1"/>
</file>

<file path=xl/ctrlProps/ctrlProp37.xml><?xml version="1.0" encoding="utf-8"?>
<formControlPr xmlns="http://schemas.microsoft.com/office/spreadsheetml/2009/9/main" objectType="CheckBox" fmlaLink="$G$36" lockText="1"/>
</file>

<file path=xl/ctrlProps/ctrlProp38.xml><?xml version="1.0" encoding="utf-8"?>
<formControlPr xmlns="http://schemas.microsoft.com/office/spreadsheetml/2009/9/main" objectType="CheckBox" fmlaLink="$G$37"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58</xdr:row>
          <xdr:rowOff>114300</xdr:rowOff>
        </xdr:from>
        <xdr:to>
          <xdr:col>6</xdr:col>
          <xdr:colOff>0</xdr:colOff>
          <xdr:row>60</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0</xdr:row>
          <xdr:rowOff>175260</xdr:rowOff>
        </xdr:from>
        <xdr:to>
          <xdr:col>0</xdr:col>
          <xdr:colOff>-1120140</xdr:colOff>
          <xdr:row>0</xdr:row>
          <xdr:rowOff>175260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120140" y="1752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28</xdr:row>
          <xdr:rowOff>114300</xdr:rowOff>
        </xdr:from>
        <xdr:to>
          <xdr:col>8</xdr:col>
          <xdr:colOff>266700</xdr:colOff>
          <xdr:row>30</xdr:row>
          <xdr:rowOff>30480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29</xdr:row>
          <xdr:rowOff>175260</xdr:rowOff>
        </xdr:from>
        <xdr:to>
          <xdr:col>8</xdr:col>
          <xdr:colOff>266700</xdr:colOff>
          <xdr:row>31</xdr:row>
          <xdr:rowOff>30480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39</xdr:row>
          <xdr:rowOff>106680</xdr:rowOff>
        </xdr:from>
        <xdr:to>
          <xdr:col>4</xdr:col>
          <xdr:colOff>266700</xdr:colOff>
          <xdr:row>48</xdr:row>
          <xdr:rowOff>7620</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2895600" y="7734300"/>
              <a:ext cx="259080" cy="1501140"/>
              <a:chOff x="2644140" y="8199117"/>
              <a:chExt cx="259080" cy="1485906"/>
            </a:xfrm>
          </xdr:grpSpPr>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2659380" y="8199117"/>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2644140" y="9464043"/>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39</xdr:row>
          <xdr:rowOff>99060</xdr:rowOff>
        </xdr:from>
        <xdr:to>
          <xdr:col>7</xdr:col>
          <xdr:colOff>281940</xdr:colOff>
          <xdr:row>46</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5593080" y="7726680"/>
              <a:ext cx="251460" cy="1127760"/>
              <a:chOff x="5379720" y="8199118"/>
              <a:chExt cx="251460" cy="1120141"/>
            </a:xfrm>
          </xdr:grpSpPr>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5379720" y="8199118"/>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5387340" y="9098279"/>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28</xdr:row>
          <xdr:rowOff>114300</xdr:rowOff>
        </xdr:from>
        <xdr:to>
          <xdr:col>5</xdr:col>
          <xdr:colOff>259080</xdr:colOff>
          <xdr:row>37</xdr:row>
          <xdr:rowOff>30480</xdr:rowOff>
        </xdr:to>
        <xdr:grpSp>
          <xdr:nvGrpSpPr>
            <xdr:cNvPr id="2105" name="Group 57">
              <a:extLst>
                <a:ext uri="{FF2B5EF4-FFF2-40B4-BE49-F238E27FC236}">
                  <a16:creationId xmlns:a16="http://schemas.microsoft.com/office/drawing/2014/main" id="{00000000-0008-0000-0100-000039080000}"/>
                </a:ext>
              </a:extLst>
            </xdr:cNvPr>
            <xdr:cNvGrpSpPr>
              <a:grpSpLocks/>
            </xdr:cNvGrpSpPr>
          </xdr:nvGrpSpPr>
          <xdr:grpSpPr bwMode="auto">
            <a:xfrm>
              <a:off x="3779520" y="576834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68</xdr:row>
          <xdr:rowOff>99060</xdr:rowOff>
        </xdr:from>
        <xdr:to>
          <xdr:col>4</xdr:col>
          <xdr:colOff>259080</xdr:colOff>
          <xdr:row>70</xdr:row>
          <xdr:rowOff>15240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37F9C912-74B8-439B-B25D-20DD133E83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69</xdr:row>
          <xdr:rowOff>167640</xdr:rowOff>
        </xdr:from>
        <xdr:to>
          <xdr:col>4</xdr:col>
          <xdr:colOff>259080</xdr:colOff>
          <xdr:row>71</xdr:row>
          <xdr:rowOff>22860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354A0187-3E79-49B1-8269-36B2ABE50B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70</xdr:row>
          <xdr:rowOff>167640</xdr:rowOff>
        </xdr:from>
        <xdr:to>
          <xdr:col>4</xdr:col>
          <xdr:colOff>259080</xdr:colOff>
          <xdr:row>72</xdr:row>
          <xdr:rowOff>22860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9468DEA8-041F-4D2E-BC20-FCF86CCB10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71</xdr:row>
          <xdr:rowOff>160020</xdr:rowOff>
        </xdr:from>
        <xdr:to>
          <xdr:col>4</xdr:col>
          <xdr:colOff>259080</xdr:colOff>
          <xdr:row>73</xdr:row>
          <xdr:rowOff>15240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C420F5D2-CA56-4917-B9A4-1873793550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72</xdr:row>
          <xdr:rowOff>152400</xdr:rowOff>
        </xdr:from>
        <xdr:to>
          <xdr:col>4</xdr:col>
          <xdr:colOff>259080</xdr:colOff>
          <xdr:row>74</xdr:row>
          <xdr:rowOff>7620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E2C4526D-0032-4B4D-ACF0-22AA6D42D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73</xdr:row>
          <xdr:rowOff>160020</xdr:rowOff>
        </xdr:from>
        <xdr:to>
          <xdr:col>4</xdr:col>
          <xdr:colOff>251460</xdr:colOff>
          <xdr:row>75</xdr:row>
          <xdr:rowOff>15240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735A8804-C3B2-4939-A3F7-904FED679B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74</xdr:row>
          <xdr:rowOff>152400</xdr:rowOff>
        </xdr:from>
        <xdr:to>
          <xdr:col>4</xdr:col>
          <xdr:colOff>251460</xdr:colOff>
          <xdr:row>76</xdr:row>
          <xdr:rowOff>7620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E56CFB61-9E09-4D5B-B6A4-947633AC5F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75</xdr:row>
          <xdr:rowOff>160020</xdr:rowOff>
        </xdr:from>
        <xdr:to>
          <xdr:col>4</xdr:col>
          <xdr:colOff>251460</xdr:colOff>
          <xdr:row>77</xdr:row>
          <xdr:rowOff>15240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86978032-67B5-4862-8698-6A34F82507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85</xdr:row>
          <xdr:rowOff>106680</xdr:rowOff>
        </xdr:from>
        <xdr:to>
          <xdr:col>4</xdr:col>
          <xdr:colOff>274320</xdr:colOff>
          <xdr:row>87</xdr:row>
          <xdr:rowOff>22860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8F82C885-42AF-496B-9F0D-CC00FC67E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86</xdr:row>
          <xdr:rowOff>160020</xdr:rowOff>
        </xdr:from>
        <xdr:to>
          <xdr:col>4</xdr:col>
          <xdr:colOff>274320</xdr:colOff>
          <xdr:row>88</xdr:row>
          <xdr:rowOff>15240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D5D5C638-F860-48CE-98AD-6FFA46E115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87</xdr:row>
          <xdr:rowOff>167640</xdr:rowOff>
        </xdr:from>
        <xdr:to>
          <xdr:col>4</xdr:col>
          <xdr:colOff>274320</xdr:colOff>
          <xdr:row>89</xdr:row>
          <xdr:rowOff>22860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3ECA133B-0495-48C2-8E9E-FF9294A43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88</xdr:row>
          <xdr:rowOff>167640</xdr:rowOff>
        </xdr:from>
        <xdr:to>
          <xdr:col>4</xdr:col>
          <xdr:colOff>274320</xdr:colOff>
          <xdr:row>90</xdr:row>
          <xdr:rowOff>22860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B59A4272-A2A5-471F-A947-35CE9DCA28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113</xdr:row>
          <xdr:rowOff>7620</xdr:rowOff>
        </xdr:from>
        <xdr:to>
          <xdr:col>4</xdr:col>
          <xdr:colOff>411480</xdr:colOff>
          <xdr:row>114</xdr:row>
          <xdr:rowOff>45720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6E886C50-D990-4C8E-A973-6419723564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28</xdr:row>
          <xdr:rowOff>99060</xdr:rowOff>
        </xdr:from>
        <xdr:to>
          <xdr:col>5</xdr:col>
          <xdr:colOff>236220</xdr:colOff>
          <xdr:row>30</xdr:row>
          <xdr:rowOff>15240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811F81FB-D555-436B-A4D1-C0EF7C2B8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152400</xdr:rowOff>
        </xdr:from>
        <xdr:to>
          <xdr:col>5</xdr:col>
          <xdr:colOff>243840</xdr:colOff>
          <xdr:row>31</xdr:row>
          <xdr:rowOff>7620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9A268C70-8F13-4306-854A-972B48B794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167640</xdr:rowOff>
        </xdr:from>
        <xdr:to>
          <xdr:col>5</xdr:col>
          <xdr:colOff>243840</xdr:colOff>
          <xdr:row>32</xdr:row>
          <xdr:rowOff>22860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7C78F9A0-D681-4D6D-87B6-4758764DE9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160020</xdr:rowOff>
        </xdr:from>
        <xdr:to>
          <xdr:col>5</xdr:col>
          <xdr:colOff>243840</xdr:colOff>
          <xdr:row>33</xdr:row>
          <xdr:rowOff>15240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85E7E54-5742-4632-AC20-1CF9C5DEA0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160020</xdr:rowOff>
        </xdr:from>
        <xdr:to>
          <xdr:col>5</xdr:col>
          <xdr:colOff>243840</xdr:colOff>
          <xdr:row>34</xdr:row>
          <xdr:rowOff>15240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C458D439-52BD-4D64-9DFC-B268299F0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152400</xdr:rowOff>
        </xdr:from>
        <xdr:to>
          <xdr:col>5</xdr:col>
          <xdr:colOff>243840</xdr:colOff>
          <xdr:row>35</xdr:row>
          <xdr:rowOff>7620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A17C9BCF-F5F1-4A86-B94E-E89BD4ABA3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152400</xdr:rowOff>
        </xdr:from>
        <xdr:to>
          <xdr:col>5</xdr:col>
          <xdr:colOff>243840</xdr:colOff>
          <xdr:row>36</xdr:row>
          <xdr:rowOff>7620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6F5890F3-D365-4377-A9CD-214ABBCE7F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35</xdr:row>
          <xdr:rowOff>160020</xdr:rowOff>
        </xdr:from>
        <xdr:to>
          <xdr:col>5</xdr:col>
          <xdr:colOff>251460</xdr:colOff>
          <xdr:row>37</xdr:row>
          <xdr:rowOff>15240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FACF5262-1E01-4E47-9E53-A22041E758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I60"/>
  <sheetViews>
    <sheetView showGridLines="0" workbookViewId="0">
      <selection activeCell="C11" sqref="C11"/>
    </sheetView>
  </sheetViews>
  <sheetFormatPr defaultRowHeight="14.4" x14ac:dyDescent="0.3"/>
  <cols>
    <col min="1" max="1" width="3.77734375" style="29" customWidth="1"/>
    <col min="2" max="2" width="18.5546875" style="30" customWidth="1"/>
    <col min="3" max="3" width="18.21875" style="30" customWidth="1"/>
    <col min="4" max="4" width="16.6640625" style="30" customWidth="1"/>
    <col min="5" max="5" width="15.88671875" style="29" customWidth="1"/>
    <col min="6" max="6" width="2.77734375" style="29" customWidth="1"/>
    <col min="7" max="7" width="4.44140625" style="29" customWidth="1"/>
    <col min="8" max="8" width="31.21875" style="30" customWidth="1"/>
    <col min="9" max="9" width="42.109375" style="29" customWidth="1"/>
    <col min="10" max="16384" width="8.88671875" style="29"/>
  </cols>
  <sheetData>
    <row r="1" spans="1:9" ht="33" customHeight="1" x14ac:dyDescent="0.3">
      <c r="A1" s="125" t="s">
        <v>0</v>
      </c>
      <c r="B1" s="125"/>
      <c r="C1" s="125"/>
      <c r="D1" s="125"/>
      <c r="E1" s="126"/>
      <c r="F1" s="28"/>
    </row>
    <row r="2" spans="1:9" ht="33" customHeight="1" x14ac:dyDescent="0.3">
      <c r="A2" s="125"/>
      <c r="B2" s="125"/>
      <c r="C2" s="125"/>
      <c r="D2" s="125"/>
      <c r="E2" s="126"/>
      <c r="F2" s="28"/>
    </row>
    <row r="3" spans="1:9" ht="14.4" customHeight="1" x14ac:dyDescent="0.3">
      <c r="A3" s="31"/>
      <c r="B3" s="28"/>
      <c r="C3" s="28"/>
      <c r="D3" s="28"/>
      <c r="E3" s="28"/>
      <c r="F3" s="28"/>
    </row>
    <row r="4" spans="1:9" ht="18" customHeight="1" x14ac:dyDescent="0.35">
      <c r="A4" s="127" t="s">
        <v>7</v>
      </c>
      <c r="B4" s="127"/>
      <c r="C4" s="127"/>
      <c r="D4" s="127"/>
      <c r="E4" s="127"/>
      <c r="F4" s="31"/>
    </row>
    <row r="5" spans="1:9" x14ac:dyDescent="0.3">
      <c r="A5" s="31"/>
      <c r="B5" s="32" t="s">
        <v>6</v>
      </c>
      <c r="C5" s="124" t="s">
        <v>225</v>
      </c>
      <c r="D5" s="124"/>
      <c r="E5" s="124"/>
      <c r="F5" s="31"/>
    </row>
    <row r="6" spans="1:9" x14ac:dyDescent="0.3">
      <c r="A6" s="31"/>
      <c r="B6" s="32" t="s">
        <v>12</v>
      </c>
      <c r="C6" s="124" t="s">
        <v>229</v>
      </c>
      <c r="D6" s="124"/>
      <c r="E6" s="124"/>
      <c r="F6" s="31"/>
      <c r="H6" s="33"/>
      <c r="I6" s="34"/>
    </row>
    <row r="7" spans="1:9" x14ac:dyDescent="0.3">
      <c r="A7" s="31"/>
      <c r="B7" s="32" t="s">
        <v>13</v>
      </c>
      <c r="C7" s="124" t="s">
        <v>230</v>
      </c>
      <c r="D7" s="124"/>
      <c r="E7" s="124"/>
      <c r="F7" s="31"/>
      <c r="H7" s="33"/>
      <c r="I7" s="34"/>
    </row>
    <row r="8" spans="1:9" x14ac:dyDescent="0.3">
      <c r="A8" s="31"/>
      <c r="B8" s="32" t="s">
        <v>14</v>
      </c>
      <c r="C8" s="124" t="s">
        <v>41</v>
      </c>
      <c r="D8" s="124"/>
      <c r="E8" s="124"/>
      <c r="F8" s="31"/>
      <c r="H8" s="33"/>
      <c r="I8" s="34"/>
    </row>
    <row r="9" spans="1:9" x14ac:dyDescent="0.3">
      <c r="A9" s="31"/>
      <c r="B9" s="32" t="s">
        <v>15</v>
      </c>
      <c r="C9" s="124" t="s">
        <v>44</v>
      </c>
      <c r="D9" s="124"/>
      <c r="E9" s="124"/>
      <c r="F9" s="31"/>
    </row>
    <row r="10" spans="1:9" x14ac:dyDescent="0.3">
      <c r="A10" s="31"/>
      <c r="B10" s="32" t="s">
        <v>221</v>
      </c>
      <c r="C10" s="124" t="s">
        <v>42</v>
      </c>
      <c r="D10" s="124"/>
      <c r="E10" s="124"/>
      <c r="F10" s="31"/>
    </row>
    <row r="11" spans="1:9" ht="14.4" customHeight="1" x14ac:dyDescent="0.3">
      <c r="A11" s="31"/>
      <c r="B11" s="28"/>
      <c r="C11" s="28"/>
      <c r="D11" s="28"/>
      <c r="E11" s="31"/>
      <c r="F11" s="31"/>
    </row>
    <row r="12" spans="1:9" ht="18" customHeight="1" x14ac:dyDescent="0.35">
      <c r="A12" s="127" t="s">
        <v>8</v>
      </c>
      <c r="B12" s="127"/>
      <c r="C12" s="127"/>
      <c r="D12" s="127"/>
      <c r="E12" s="127"/>
      <c r="F12" s="31"/>
    </row>
    <row r="13" spans="1:9" x14ac:dyDescent="0.3">
      <c r="A13" s="31"/>
      <c r="B13" s="32" t="s">
        <v>9</v>
      </c>
      <c r="C13" s="124"/>
      <c r="D13" s="124"/>
      <c r="E13" s="124"/>
      <c r="F13" s="31"/>
    </row>
    <row r="14" spans="1:9" x14ac:dyDescent="0.3">
      <c r="A14" s="31"/>
      <c r="B14" s="32" t="s">
        <v>1</v>
      </c>
      <c r="C14" s="124" t="s">
        <v>226</v>
      </c>
      <c r="D14" s="124"/>
      <c r="E14" s="124"/>
      <c r="F14" s="31"/>
    </row>
    <row r="15" spans="1:9" x14ac:dyDescent="0.3">
      <c r="A15" s="31"/>
      <c r="B15" s="32" t="s">
        <v>10</v>
      </c>
      <c r="C15" s="124" t="s">
        <v>51</v>
      </c>
      <c r="D15" s="124"/>
      <c r="E15" s="124"/>
      <c r="F15" s="31"/>
    </row>
    <row r="16" spans="1:9" x14ac:dyDescent="0.3">
      <c r="A16" s="31"/>
      <c r="B16" s="32" t="s">
        <v>2</v>
      </c>
      <c r="C16" s="124" t="s">
        <v>49</v>
      </c>
      <c r="D16" s="124"/>
      <c r="E16" s="124"/>
      <c r="F16" s="31"/>
    </row>
    <row r="17" spans="1:6" x14ac:dyDescent="0.3">
      <c r="A17" s="31"/>
      <c r="B17" s="28"/>
      <c r="C17" s="28"/>
      <c r="D17" s="28"/>
      <c r="E17" s="31"/>
      <c r="F17" s="31"/>
    </row>
    <row r="18" spans="1:6" ht="18" customHeight="1" x14ac:dyDescent="0.35">
      <c r="A18" s="127" t="s">
        <v>11</v>
      </c>
      <c r="B18" s="127"/>
      <c r="C18" s="127"/>
      <c r="D18" s="127"/>
      <c r="E18" s="127"/>
      <c r="F18" s="31"/>
    </row>
    <row r="19" spans="1:6" x14ac:dyDescent="0.3">
      <c r="A19" s="31"/>
      <c r="B19" s="32" t="s">
        <v>3</v>
      </c>
      <c r="C19" s="129">
        <v>43439</v>
      </c>
      <c r="D19" s="129"/>
      <c r="E19" s="129"/>
      <c r="F19" s="31"/>
    </row>
    <row r="20" spans="1:6" x14ac:dyDescent="0.3">
      <c r="A20" s="31"/>
      <c r="B20" s="32" t="s">
        <v>4</v>
      </c>
      <c r="C20" s="129">
        <v>43451</v>
      </c>
      <c r="D20" s="124"/>
      <c r="E20" s="124"/>
      <c r="F20" s="31"/>
    </row>
    <row r="21" spans="1:6" x14ac:dyDescent="0.3">
      <c r="A21" s="31"/>
      <c r="B21" s="32" t="s">
        <v>5</v>
      </c>
      <c r="C21" s="129">
        <v>43453</v>
      </c>
      <c r="D21" s="124"/>
      <c r="E21" s="124"/>
      <c r="F21" s="31"/>
    </row>
    <row r="22" spans="1:6" ht="28.8" x14ac:dyDescent="0.3">
      <c r="A22" s="31"/>
      <c r="B22" s="32" t="s">
        <v>16</v>
      </c>
      <c r="C22" s="124" t="s">
        <v>227</v>
      </c>
      <c r="D22" s="124"/>
      <c r="E22" s="124"/>
      <c r="F22" s="31"/>
    </row>
    <row r="23" spans="1:6" x14ac:dyDescent="0.3">
      <c r="A23" s="31"/>
      <c r="B23" s="28"/>
      <c r="C23" s="28"/>
      <c r="D23" s="28"/>
      <c r="E23" s="31"/>
      <c r="F23" s="31"/>
    </row>
    <row r="24" spans="1:6" ht="18" customHeight="1" x14ac:dyDescent="0.35">
      <c r="A24" s="127" t="s">
        <v>17</v>
      </c>
      <c r="B24" s="127"/>
      <c r="C24" s="127"/>
      <c r="D24" s="127"/>
      <c r="E24" s="127"/>
      <c r="F24" s="31"/>
    </row>
    <row r="25" spans="1:6" ht="28.2" customHeight="1" x14ac:dyDescent="0.3">
      <c r="A25" s="31"/>
      <c r="B25" s="100" t="s">
        <v>18</v>
      </c>
      <c r="C25" s="101"/>
      <c r="D25" s="101"/>
      <c r="E25" s="102"/>
      <c r="F25" s="31"/>
    </row>
    <row r="26" spans="1:6" x14ac:dyDescent="0.3">
      <c r="A26" s="31"/>
      <c r="B26" s="103" t="s">
        <v>228</v>
      </c>
      <c r="C26" s="104"/>
      <c r="D26" s="104"/>
      <c r="E26" s="105"/>
      <c r="F26" s="31"/>
    </row>
    <row r="27" spans="1:6" x14ac:dyDescent="0.3">
      <c r="A27" s="31"/>
      <c r="B27" s="103"/>
      <c r="C27" s="104"/>
      <c r="D27" s="104"/>
      <c r="E27" s="105"/>
      <c r="F27" s="31"/>
    </row>
    <row r="28" spans="1:6" x14ac:dyDescent="0.3">
      <c r="A28" s="31"/>
      <c r="B28" s="103"/>
      <c r="C28" s="104"/>
      <c r="D28" s="104"/>
      <c r="E28" s="105"/>
      <c r="F28" s="31"/>
    </row>
    <row r="29" spans="1:6" x14ac:dyDescent="0.3">
      <c r="A29" s="35"/>
      <c r="B29" s="103"/>
      <c r="C29" s="104"/>
      <c r="D29" s="104"/>
      <c r="E29" s="105"/>
      <c r="F29" s="35"/>
    </row>
    <row r="30" spans="1:6" x14ac:dyDescent="0.3">
      <c r="A30" s="35"/>
      <c r="B30" s="103"/>
      <c r="C30" s="104"/>
      <c r="D30" s="104"/>
      <c r="E30" s="105"/>
      <c r="F30" s="35"/>
    </row>
    <row r="31" spans="1:6" x14ac:dyDescent="0.3">
      <c r="A31" s="35"/>
      <c r="B31" s="103"/>
      <c r="C31" s="104"/>
      <c r="D31" s="104"/>
      <c r="E31" s="105"/>
      <c r="F31" s="35"/>
    </row>
    <row r="32" spans="1:6" x14ac:dyDescent="0.3">
      <c r="A32" s="35"/>
      <c r="B32" s="103"/>
      <c r="C32" s="104"/>
      <c r="D32" s="104"/>
      <c r="E32" s="105"/>
      <c r="F32" s="35"/>
    </row>
    <row r="33" spans="1:6" x14ac:dyDescent="0.3">
      <c r="A33" s="35"/>
      <c r="B33" s="103"/>
      <c r="C33" s="104"/>
      <c r="D33" s="104"/>
      <c r="E33" s="105"/>
      <c r="F33" s="35"/>
    </row>
    <row r="34" spans="1:6" x14ac:dyDescent="0.3">
      <c r="A34" s="35"/>
      <c r="B34" s="103"/>
      <c r="C34" s="104"/>
      <c r="D34" s="104"/>
      <c r="E34" s="105"/>
      <c r="F34" s="35"/>
    </row>
    <row r="35" spans="1:6" x14ac:dyDescent="0.3">
      <c r="A35" s="35"/>
      <c r="B35" s="103"/>
      <c r="C35" s="104"/>
      <c r="D35" s="104"/>
      <c r="E35" s="105"/>
      <c r="F35" s="35"/>
    </row>
    <row r="36" spans="1:6" x14ac:dyDescent="0.3">
      <c r="A36" s="35"/>
      <c r="B36" s="103"/>
      <c r="C36" s="104"/>
      <c r="D36" s="104"/>
      <c r="E36" s="105"/>
      <c r="F36" s="35"/>
    </row>
    <row r="37" spans="1:6" x14ac:dyDescent="0.3">
      <c r="A37" s="35"/>
      <c r="B37" s="106"/>
      <c r="C37" s="107"/>
      <c r="D37" s="107"/>
      <c r="E37" s="108"/>
      <c r="F37" s="35"/>
    </row>
    <row r="38" spans="1:6" ht="7.8" customHeight="1" x14ac:dyDescent="0.3">
      <c r="A38" s="35"/>
      <c r="B38" s="36"/>
      <c r="C38" s="36"/>
      <c r="D38" s="36"/>
      <c r="E38" s="35"/>
      <c r="F38" s="35"/>
    </row>
    <row r="39" spans="1:6" x14ac:dyDescent="0.3">
      <c r="A39" s="37"/>
      <c r="B39" s="38"/>
      <c r="C39" s="38"/>
      <c r="D39" s="38"/>
      <c r="E39" s="37"/>
      <c r="F39" s="37"/>
    </row>
    <row r="40" spans="1:6" ht="9" customHeight="1" x14ac:dyDescent="0.3">
      <c r="A40" s="35"/>
      <c r="B40" s="36"/>
      <c r="C40" s="36"/>
      <c r="D40" s="36"/>
      <c r="E40" s="35"/>
      <c r="F40" s="35"/>
    </row>
    <row r="41" spans="1:6" ht="59.4" customHeight="1" x14ac:dyDescent="0.3">
      <c r="A41" s="35"/>
      <c r="B41" s="128" t="s">
        <v>222</v>
      </c>
      <c r="C41" s="128"/>
      <c r="D41" s="39" t="s">
        <v>54</v>
      </c>
      <c r="E41" s="39" t="s">
        <v>55</v>
      </c>
      <c r="F41" s="35"/>
    </row>
    <row r="42" spans="1:6" x14ac:dyDescent="0.3">
      <c r="A42" s="40">
        <v>1</v>
      </c>
      <c r="B42" s="120" t="s">
        <v>56</v>
      </c>
      <c r="C42" s="120"/>
      <c r="D42" s="41">
        <v>2</v>
      </c>
      <c r="E42" s="24">
        <f>$D42 + CEILING($D42 * 30%, 1)</f>
        <v>3</v>
      </c>
      <c r="F42" s="35"/>
    </row>
    <row r="43" spans="1:6" x14ac:dyDescent="0.3">
      <c r="A43" s="40">
        <v>2</v>
      </c>
      <c r="B43" s="120"/>
      <c r="C43" s="120"/>
      <c r="D43" s="41"/>
      <c r="E43" s="24">
        <f t="shared" ref="E43:E51" si="0">$D43 + CEILING($D43 * 30%, 1)</f>
        <v>0</v>
      </c>
      <c r="F43" s="35"/>
    </row>
    <row r="44" spans="1:6" x14ac:dyDescent="0.3">
      <c r="A44" s="40">
        <v>3</v>
      </c>
      <c r="B44" s="120"/>
      <c r="C44" s="120"/>
      <c r="D44" s="41"/>
      <c r="E44" s="24">
        <f t="shared" si="0"/>
        <v>0</v>
      </c>
      <c r="F44" s="35"/>
    </row>
    <row r="45" spans="1:6" x14ac:dyDescent="0.3">
      <c r="A45" s="40">
        <v>4</v>
      </c>
      <c r="B45" s="120"/>
      <c r="C45" s="120"/>
      <c r="D45" s="41"/>
      <c r="E45" s="24">
        <f t="shared" si="0"/>
        <v>0</v>
      </c>
      <c r="F45" s="35"/>
    </row>
    <row r="46" spans="1:6" x14ac:dyDescent="0.3">
      <c r="A46" s="40">
        <v>5</v>
      </c>
      <c r="B46" s="120"/>
      <c r="C46" s="120"/>
      <c r="D46" s="41"/>
      <c r="E46" s="24">
        <f t="shared" si="0"/>
        <v>0</v>
      </c>
      <c r="F46" s="35"/>
    </row>
    <row r="47" spans="1:6" x14ac:dyDescent="0.3">
      <c r="A47" s="40">
        <v>6</v>
      </c>
      <c r="B47" s="122"/>
      <c r="C47" s="123"/>
      <c r="D47" s="41"/>
      <c r="E47" s="24">
        <f t="shared" si="0"/>
        <v>0</v>
      </c>
      <c r="F47" s="35"/>
    </row>
    <row r="48" spans="1:6" x14ac:dyDescent="0.3">
      <c r="A48" s="40">
        <v>7</v>
      </c>
      <c r="B48" s="122"/>
      <c r="C48" s="123"/>
      <c r="D48" s="41"/>
      <c r="E48" s="24">
        <f t="shared" si="0"/>
        <v>0</v>
      </c>
      <c r="F48" s="35"/>
    </row>
    <row r="49" spans="1:8" x14ac:dyDescent="0.3">
      <c r="A49" s="40">
        <v>8</v>
      </c>
      <c r="B49" s="120"/>
      <c r="C49" s="120"/>
      <c r="D49" s="41"/>
      <c r="E49" s="24">
        <f t="shared" si="0"/>
        <v>0</v>
      </c>
      <c r="F49" s="35"/>
    </row>
    <row r="50" spans="1:8" x14ac:dyDescent="0.3">
      <c r="A50" s="40">
        <v>9</v>
      </c>
      <c r="B50" s="120"/>
      <c r="C50" s="120"/>
      <c r="D50" s="41"/>
      <c r="E50" s="24">
        <f t="shared" si="0"/>
        <v>0</v>
      </c>
      <c r="F50" s="35"/>
    </row>
    <row r="51" spans="1:8" x14ac:dyDescent="0.3">
      <c r="A51" s="40">
        <v>10</v>
      </c>
      <c r="B51" s="122"/>
      <c r="C51" s="123"/>
      <c r="D51" s="41"/>
      <c r="E51" s="24">
        <f t="shared" si="0"/>
        <v>0</v>
      </c>
      <c r="F51" s="35"/>
    </row>
    <row r="52" spans="1:8" x14ac:dyDescent="0.3">
      <c r="A52" s="35"/>
      <c r="B52" s="121" t="s">
        <v>71</v>
      </c>
      <c r="C52" s="121"/>
      <c r="D52" s="23">
        <f>SUM(D42:D51)</f>
        <v>2</v>
      </c>
      <c r="E52" s="23">
        <f>SUM(E42:E51)</f>
        <v>3</v>
      </c>
      <c r="F52" s="35"/>
    </row>
    <row r="53" spans="1:8" ht="7.8" customHeight="1" x14ac:dyDescent="0.3">
      <c r="A53" s="35"/>
      <c r="B53" s="36"/>
      <c r="C53" s="36"/>
      <c r="D53" s="36"/>
      <c r="E53" s="35"/>
      <c r="F53" s="35"/>
    </row>
    <row r="54" spans="1:8" x14ac:dyDescent="0.3">
      <c r="A54" s="37"/>
      <c r="B54" s="38"/>
      <c r="C54" s="38"/>
      <c r="D54" s="38"/>
      <c r="E54" s="37"/>
      <c r="F54" s="37"/>
      <c r="G54" s="37"/>
    </row>
    <row r="55" spans="1:8" ht="14.4" customHeight="1" x14ac:dyDescent="0.3">
      <c r="A55" s="111" t="s">
        <v>39</v>
      </c>
      <c r="B55" s="112"/>
      <c r="C55" s="112"/>
      <c r="D55" s="112"/>
      <c r="E55" s="112"/>
      <c r="F55" s="113"/>
    </row>
    <row r="56" spans="1:8" x14ac:dyDescent="0.3">
      <c r="A56" s="114"/>
      <c r="B56" s="115"/>
      <c r="C56" s="115"/>
      <c r="D56" s="115"/>
      <c r="E56" s="115"/>
      <c r="F56" s="116"/>
    </row>
    <row r="57" spans="1:8" x14ac:dyDescent="0.3">
      <c r="A57" s="114"/>
      <c r="B57" s="115"/>
      <c r="C57" s="115"/>
      <c r="D57" s="115"/>
      <c r="E57" s="115"/>
      <c r="F57" s="116"/>
    </row>
    <row r="58" spans="1:8" x14ac:dyDescent="0.3">
      <c r="A58" s="117"/>
      <c r="B58" s="118"/>
      <c r="C58" s="118"/>
      <c r="D58" s="118"/>
      <c r="E58" s="118"/>
      <c r="F58" s="119"/>
    </row>
    <row r="59" spans="1:8" x14ac:dyDescent="0.3">
      <c r="A59" s="37"/>
      <c r="B59" s="38"/>
      <c r="C59" s="38"/>
      <c r="D59" s="38"/>
      <c r="E59" s="37"/>
      <c r="F59" s="37"/>
      <c r="G59" s="37"/>
    </row>
    <row r="60" spans="1:8" ht="18.600000000000001" customHeight="1" x14ac:dyDescent="0.3">
      <c r="A60" s="109" t="s">
        <v>19</v>
      </c>
      <c r="B60" s="109"/>
      <c r="C60" s="110" t="s">
        <v>56</v>
      </c>
      <c r="D60" s="110"/>
      <c r="E60" s="37"/>
      <c r="F60" s="37"/>
      <c r="G60" s="37"/>
      <c r="H60" s="38"/>
    </row>
  </sheetData>
  <sheetProtection algorithmName="SHA-512" hashValue="mH2ceBxu8qDRefQtumttnebvdp4eUksvwnB9XvgjGqlc97fwN3M/HNG7g8pd8M4iT1eK1Wb9VNB49OAaU1RTAw==" saltValue="T4lSRw8EHdte0LpWxyJtrQ==" spinCount="100000" sheet="1" objects="1" scenarios="1"/>
  <mergeCells count="37">
    <mergeCell ref="C10:E10"/>
    <mergeCell ref="B41:C41"/>
    <mergeCell ref="B42:C42"/>
    <mergeCell ref="B43:C43"/>
    <mergeCell ref="B44:C44"/>
    <mergeCell ref="A12:E12"/>
    <mergeCell ref="A18:E18"/>
    <mergeCell ref="A24:E24"/>
    <mergeCell ref="C13:E13"/>
    <mergeCell ref="C14:E14"/>
    <mergeCell ref="C15:E15"/>
    <mergeCell ref="C16:E16"/>
    <mergeCell ref="C19:E19"/>
    <mergeCell ref="C20:E20"/>
    <mergeCell ref="C21:E21"/>
    <mergeCell ref="C22:E22"/>
    <mergeCell ref="C7:E7"/>
    <mergeCell ref="C8:E8"/>
    <mergeCell ref="C9:E9"/>
    <mergeCell ref="A1:D2"/>
    <mergeCell ref="E1:E2"/>
    <mergeCell ref="C5:E5"/>
    <mergeCell ref="C6:E6"/>
    <mergeCell ref="A4:E4"/>
    <mergeCell ref="B25:E25"/>
    <mergeCell ref="B26:E37"/>
    <mergeCell ref="A60:B60"/>
    <mergeCell ref="C60:D60"/>
    <mergeCell ref="A55:F58"/>
    <mergeCell ref="B45:C45"/>
    <mergeCell ref="B46:C46"/>
    <mergeCell ref="B49:C49"/>
    <mergeCell ref="B50:C50"/>
    <mergeCell ref="B52:C52"/>
    <mergeCell ref="B51:C51"/>
    <mergeCell ref="B48:C48"/>
    <mergeCell ref="B47:C47"/>
  </mergeCells>
  <dataValidations count="1">
    <dataValidation type="list" allowBlank="1" showInputMessage="1" showErrorMessage="1" sqref="C5:E5" xr:uid="{261A0909-3824-4E4A-B442-D0BB399D1927}">
      <formula1>projects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58</xdr:row>
                    <xdr:rowOff>114300</xdr:rowOff>
                  </from>
                  <to>
                    <xdr:col>6</xdr:col>
                    <xdr:colOff>0</xdr:colOff>
                    <xdr:row>60</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B42:B51 C49:C50 C42:C46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J143"/>
  <sheetViews>
    <sheetView showGridLines="0" topLeftCell="A115" workbookViewId="0">
      <selection activeCell="G132" sqref="G132"/>
    </sheetView>
  </sheetViews>
  <sheetFormatPr defaultRowHeight="14.4" x14ac:dyDescent="0.3"/>
  <cols>
    <col min="1" max="1" width="3.109375" style="29" customWidth="1"/>
    <col min="2" max="2" width="12.77734375" style="30" customWidth="1"/>
    <col min="3" max="3" width="20.77734375" style="29" customWidth="1"/>
    <col min="4" max="4" width="5.44140625" style="29" bestFit="1" customWidth="1"/>
    <col min="5" max="5" width="12.77734375" style="29" customWidth="1"/>
    <col min="6" max="6" width="20.77734375" style="29" customWidth="1"/>
    <col min="7" max="7" width="5.44140625" style="29" bestFit="1" customWidth="1"/>
    <col min="8" max="8" width="12.77734375" style="29" customWidth="1"/>
    <col min="9" max="9" width="20.77734375" style="29" customWidth="1"/>
    <col min="10" max="10" width="2.6640625" style="29" customWidth="1"/>
    <col min="11" max="16384" width="8.88671875" style="29"/>
  </cols>
  <sheetData>
    <row r="1" spans="1:10" x14ac:dyDescent="0.3">
      <c r="A1" s="42"/>
      <c r="B1" s="43"/>
      <c r="C1" s="42"/>
      <c r="D1" s="42"/>
      <c r="E1" s="42"/>
      <c r="F1" s="42"/>
      <c r="G1" s="42"/>
      <c r="H1" s="42"/>
      <c r="I1" s="42"/>
      <c r="J1" s="44"/>
    </row>
    <row r="2" spans="1:10" ht="21.6" thickBot="1" x14ac:dyDescent="0.45">
      <c r="A2" s="140" t="s">
        <v>52</v>
      </c>
      <c r="B2" s="140"/>
      <c r="C2" s="140"/>
      <c r="D2" s="140"/>
      <c r="E2" s="140"/>
      <c r="F2" s="140"/>
      <c r="G2" s="140"/>
      <c r="H2" s="140"/>
      <c r="I2" s="140"/>
      <c r="J2" s="44"/>
    </row>
    <row r="3" spans="1:10" ht="14.4" customHeight="1" thickBot="1" x14ac:dyDescent="0.35">
      <c r="A3" s="42"/>
      <c r="B3" s="158" t="s">
        <v>53</v>
      </c>
      <c r="C3" s="158"/>
      <c r="D3" s="159" t="s">
        <v>56</v>
      </c>
      <c r="E3" s="160"/>
      <c r="F3" s="161"/>
      <c r="G3" s="42"/>
      <c r="H3" s="165" t="s">
        <v>260</v>
      </c>
      <c r="I3" s="42"/>
      <c r="J3" s="44"/>
    </row>
    <row r="4" spans="1:10" ht="15" thickBot="1" x14ac:dyDescent="0.35">
      <c r="A4" s="42"/>
      <c r="B4" s="43"/>
      <c r="C4" s="42"/>
      <c r="D4" s="42"/>
      <c r="E4" s="42"/>
      <c r="F4" s="42"/>
      <c r="G4" s="42"/>
      <c r="H4" s="165"/>
      <c r="I4" s="97">
        <v>43472</v>
      </c>
      <c r="J4" s="44"/>
    </row>
    <row r="5" spans="1:10" ht="10.050000000000001" customHeight="1" thickBot="1" x14ac:dyDescent="0.35">
      <c r="A5" s="42"/>
      <c r="B5" s="43"/>
      <c r="C5" s="42"/>
      <c r="D5" s="42"/>
      <c r="E5" s="42"/>
      <c r="F5" s="42"/>
      <c r="G5" s="42"/>
      <c r="H5" s="165"/>
      <c r="I5" s="42"/>
      <c r="J5" s="44"/>
    </row>
    <row r="6" spans="1:10" ht="21.6" thickBot="1" x14ac:dyDescent="0.45">
      <c r="A6" s="224" t="s">
        <v>263</v>
      </c>
      <c r="B6" s="225"/>
      <c r="C6" s="225"/>
      <c r="D6" s="225"/>
      <c r="E6" s="225"/>
      <c r="F6" s="225"/>
      <c r="G6" s="225"/>
      <c r="H6" s="225"/>
      <c r="I6" s="225"/>
      <c r="J6" s="226"/>
    </row>
    <row r="7" spans="1:10" ht="84.6" customHeight="1" thickBot="1" x14ac:dyDescent="0.45">
      <c r="A7" s="227"/>
      <c r="B7" s="162" t="s">
        <v>129</v>
      </c>
      <c r="C7" s="163"/>
      <c r="D7" s="163"/>
      <c r="E7" s="163"/>
      <c r="F7" s="163"/>
      <c r="G7" s="163"/>
      <c r="H7" s="163"/>
      <c r="I7" s="164"/>
      <c r="J7" s="228"/>
    </row>
    <row r="8" spans="1:10" x14ac:dyDescent="0.3">
      <c r="A8" s="229"/>
      <c r="B8" s="72" t="s">
        <v>75</v>
      </c>
      <c r="C8" s="230" t="s">
        <v>76</v>
      </c>
      <c r="D8" s="56"/>
      <c r="E8" s="72" t="s">
        <v>75</v>
      </c>
      <c r="F8" s="230" t="s">
        <v>76</v>
      </c>
      <c r="G8" s="56"/>
      <c r="H8" s="72" t="s">
        <v>75</v>
      </c>
      <c r="I8" s="230" t="s">
        <v>76</v>
      </c>
      <c r="J8" s="228"/>
    </row>
    <row r="9" spans="1:10" ht="10.050000000000001" customHeight="1" thickBot="1" x14ac:dyDescent="0.35">
      <c r="A9" s="229"/>
      <c r="B9" s="54"/>
      <c r="C9" s="55"/>
      <c r="D9" s="57"/>
      <c r="E9" s="54"/>
      <c r="F9" s="55"/>
      <c r="G9" s="57"/>
      <c r="H9" s="54"/>
      <c r="I9" s="55"/>
      <c r="J9" s="228"/>
    </row>
    <row r="10" spans="1:10" ht="15" thickBot="1" x14ac:dyDescent="0.35">
      <c r="A10" s="229"/>
      <c r="B10" s="79" t="s">
        <v>82</v>
      </c>
      <c r="C10" s="80" t="s">
        <v>125</v>
      </c>
      <c r="D10" s="56" t="s">
        <v>78</v>
      </c>
      <c r="E10" s="79" t="s">
        <v>92</v>
      </c>
      <c r="F10" s="80" t="s">
        <v>125</v>
      </c>
      <c r="G10" s="56" t="s">
        <v>78</v>
      </c>
      <c r="H10" s="79"/>
      <c r="I10" s="80"/>
      <c r="J10" s="228"/>
    </row>
    <row r="11" spans="1:10" ht="10.050000000000001" customHeight="1" x14ac:dyDescent="0.3">
      <c r="A11" s="229"/>
      <c r="B11" s="54"/>
      <c r="C11" s="70">
        <f>VLOOKUP(C10, choices!$M$2:$N$6, 2, 0)</f>
        <v>4</v>
      </c>
      <c r="D11" s="56"/>
      <c r="E11" s="54"/>
      <c r="F11" s="70">
        <f>VLOOKUP(F10, choices!$M$2:$N$6, 2, 0)</f>
        <v>4</v>
      </c>
      <c r="G11" s="56"/>
      <c r="H11" s="54"/>
      <c r="I11" s="70" t="e">
        <f>VLOOKUP(I10, choices!$M$2:$N$6, 2, 0)</f>
        <v>#N/A</v>
      </c>
      <c r="J11" s="228"/>
    </row>
    <row r="12" spans="1:10" x14ac:dyDescent="0.3">
      <c r="A12" s="229"/>
      <c r="B12" s="54"/>
      <c r="C12" s="55"/>
      <c r="D12" s="56"/>
      <c r="E12" s="151" t="s">
        <v>77</v>
      </c>
      <c r="F12" s="151"/>
      <c r="G12" s="56"/>
      <c r="H12" s="54"/>
      <c r="I12" s="55"/>
      <c r="J12" s="228"/>
    </row>
    <row r="13" spans="1:10" ht="10.050000000000001" customHeight="1" thickBot="1" x14ac:dyDescent="0.35">
      <c r="A13" s="229"/>
      <c r="B13" s="54"/>
      <c r="C13" s="55"/>
      <c r="D13" s="56"/>
      <c r="E13" s="54"/>
      <c r="F13" s="55"/>
      <c r="G13" s="56"/>
      <c r="H13" s="54"/>
      <c r="I13" s="55"/>
      <c r="J13" s="228"/>
    </row>
    <row r="14" spans="1:10" ht="15" thickBot="1" x14ac:dyDescent="0.35">
      <c r="A14" s="229"/>
      <c r="B14" s="79" t="s">
        <v>81</v>
      </c>
      <c r="C14" s="80" t="s">
        <v>125</v>
      </c>
      <c r="D14" s="56" t="s">
        <v>78</v>
      </c>
      <c r="E14" s="79" t="s">
        <v>92</v>
      </c>
      <c r="F14" s="80" t="s">
        <v>125</v>
      </c>
      <c r="G14" s="56" t="s">
        <v>78</v>
      </c>
      <c r="H14" s="79"/>
      <c r="I14" s="80"/>
      <c r="J14" s="228"/>
    </row>
    <row r="15" spans="1:10" ht="10.050000000000001" customHeight="1" x14ac:dyDescent="0.3">
      <c r="A15" s="229"/>
      <c r="B15" s="54"/>
      <c r="C15" s="70">
        <f>VLOOKUP(C14, choices!$M$2:$N$6, 2, 0)</f>
        <v>4</v>
      </c>
      <c r="D15" s="56"/>
      <c r="E15" s="54"/>
      <c r="F15" s="70">
        <f>VLOOKUP(F14, choices!$M$2:$N$6, 2, 0)</f>
        <v>4</v>
      </c>
      <c r="G15" s="56"/>
      <c r="H15" s="54"/>
      <c r="I15" s="70" t="e">
        <f>VLOOKUP(I14, choices!$M$2:$N$6, 2, 0)</f>
        <v>#N/A</v>
      </c>
      <c r="J15" s="228"/>
    </row>
    <row r="16" spans="1:10" x14ac:dyDescent="0.3">
      <c r="A16" s="229"/>
      <c r="B16" s="54"/>
      <c r="C16" s="55"/>
      <c r="D16" s="56"/>
      <c r="E16" s="151" t="s">
        <v>77</v>
      </c>
      <c r="F16" s="151"/>
      <c r="G16" s="56"/>
      <c r="H16" s="54"/>
      <c r="I16" s="55"/>
      <c r="J16" s="228"/>
    </row>
    <row r="17" spans="1:10" ht="10.050000000000001" customHeight="1" thickBot="1" x14ac:dyDescent="0.35">
      <c r="A17" s="229"/>
      <c r="B17" s="54"/>
      <c r="C17" s="55"/>
      <c r="D17" s="56"/>
      <c r="E17" s="54"/>
      <c r="F17" s="55"/>
      <c r="G17" s="56"/>
      <c r="H17" s="54"/>
      <c r="I17" s="55"/>
      <c r="J17" s="228"/>
    </row>
    <row r="18" spans="1:10" ht="15" thickBot="1" x14ac:dyDescent="0.35">
      <c r="A18" s="229"/>
      <c r="B18" s="79" t="s">
        <v>82</v>
      </c>
      <c r="C18" s="80" t="s">
        <v>125</v>
      </c>
      <c r="D18" s="56" t="s">
        <v>78</v>
      </c>
      <c r="E18" s="79" t="s">
        <v>106</v>
      </c>
      <c r="F18" s="80" t="s">
        <v>125</v>
      </c>
      <c r="G18" s="56" t="s">
        <v>78</v>
      </c>
      <c r="H18" s="79"/>
      <c r="I18" s="80"/>
      <c r="J18" s="228"/>
    </row>
    <row r="19" spans="1:10" ht="10.050000000000001" customHeight="1" x14ac:dyDescent="0.3">
      <c r="A19" s="229"/>
      <c r="B19" s="54"/>
      <c r="C19" s="70">
        <f>VLOOKUP(C18, choices!$M$2:$N$6, 2, 0)</f>
        <v>4</v>
      </c>
      <c r="D19" s="56"/>
      <c r="E19" s="54"/>
      <c r="F19" s="70">
        <f>VLOOKUP(F18, choices!$M$2:$N$6, 2, 0)</f>
        <v>4</v>
      </c>
      <c r="G19" s="56"/>
      <c r="H19" s="54"/>
      <c r="I19" s="70" t="e">
        <f>VLOOKUP(I18, choices!$M$2:$N$6, 2, 0)</f>
        <v>#N/A</v>
      </c>
      <c r="J19" s="228"/>
    </row>
    <row r="20" spans="1:10" x14ac:dyDescent="0.3">
      <c r="A20" s="229"/>
      <c r="B20" s="54"/>
      <c r="C20" s="55"/>
      <c r="D20" s="56"/>
      <c r="E20" s="151" t="s">
        <v>77</v>
      </c>
      <c r="F20" s="151"/>
      <c r="G20" s="56"/>
      <c r="H20" s="54"/>
      <c r="I20" s="55"/>
      <c r="J20" s="228"/>
    </row>
    <row r="21" spans="1:10" ht="10.050000000000001" customHeight="1" thickBot="1" x14ac:dyDescent="0.35">
      <c r="A21" s="229"/>
      <c r="B21" s="54"/>
      <c r="C21" s="55"/>
      <c r="D21" s="56"/>
      <c r="E21" s="54"/>
      <c r="F21" s="55"/>
      <c r="G21" s="56"/>
      <c r="H21" s="54"/>
      <c r="I21" s="55"/>
      <c r="J21" s="228"/>
    </row>
    <row r="22" spans="1:10" ht="15" thickBot="1" x14ac:dyDescent="0.35">
      <c r="A22" s="229"/>
      <c r="B22" s="79" t="s">
        <v>81</v>
      </c>
      <c r="C22" s="80" t="s">
        <v>125</v>
      </c>
      <c r="D22" s="56" t="s">
        <v>78</v>
      </c>
      <c r="E22" s="79" t="s">
        <v>106</v>
      </c>
      <c r="F22" s="80" t="s">
        <v>125</v>
      </c>
      <c r="G22" s="56" t="s">
        <v>78</v>
      </c>
      <c r="H22" s="79"/>
      <c r="I22" s="80"/>
      <c r="J22" s="228"/>
    </row>
    <row r="23" spans="1:10" ht="10.050000000000001" customHeight="1" x14ac:dyDescent="0.3">
      <c r="A23" s="229"/>
      <c r="B23" s="54"/>
      <c r="C23" s="70">
        <f>VLOOKUP(C22, choices!$M$2:$N$6, 2, 0)</f>
        <v>4</v>
      </c>
      <c r="D23" s="56"/>
      <c r="E23" s="54"/>
      <c r="F23" s="70">
        <f>VLOOKUP(F22, choices!$M$2:$N$6, 2, 0)</f>
        <v>4</v>
      </c>
      <c r="G23" s="56"/>
      <c r="H23" s="54"/>
      <c r="I23" s="70" t="e">
        <f>VLOOKUP(I22, choices!$M$2:$N$6, 2, 0)</f>
        <v>#N/A</v>
      </c>
      <c r="J23" s="228"/>
    </row>
    <row r="24" spans="1:10" x14ac:dyDescent="0.3">
      <c r="A24" s="229"/>
      <c r="B24" s="54"/>
      <c r="C24" s="55"/>
      <c r="D24" s="56"/>
      <c r="E24" s="151" t="s">
        <v>77</v>
      </c>
      <c r="F24" s="151"/>
      <c r="G24" s="56"/>
      <c r="H24" s="54"/>
      <c r="I24" s="55"/>
      <c r="J24" s="228"/>
    </row>
    <row r="25" spans="1:10" ht="10.050000000000001" customHeight="1" thickBot="1" x14ac:dyDescent="0.35">
      <c r="A25" s="229"/>
      <c r="B25" s="54"/>
      <c r="C25" s="55"/>
      <c r="D25" s="56"/>
      <c r="E25" s="54"/>
      <c r="F25" s="55"/>
      <c r="G25" s="56"/>
      <c r="H25" s="54"/>
      <c r="I25" s="55"/>
      <c r="J25" s="228"/>
    </row>
    <row r="26" spans="1:10" ht="15" thickBot="1" x14ac:dyDescent="0.35">
      <c r="A26" s="229"/>
      <c r="B26" s="79"/>
      <c r="C26" s="80"/>
      <c r="D26" s="56" t="s">
        <v>78</v>
      </c>
      <c r="E26" s="79"/>
      <c r="F26" s="80"/>
      <c r="G26" s="56" t="s">
        <v>78</v>
      </c>
      <c r="H26" s="79"/>
      <c r="I26" s="80"/>
      <c r="J26" s="228"/>
    </row>
    <row r="27" spans="1:10" ht="10.050000000000001" customHeight="1" x14ac:dyDescent="0.3">
      <c r="A27" s="229"/>
      <c r="B27" s="54"/>
      <c r="C27" s="70" t="e">
        <f>VLOOKUP(C26, choices!$M$2:$N$6, 2, 0)</f>
        <v>#N/A</v>
      </c>
      <c r="D27" s="57"/>
      <c r="E27" s="54"/>
      <c r="F27" s="70" t="e">
        <f>VLOOKUP(F26, choices!$M$2:$N$6, 2, 0)</f>
        <v>#N/A</v>
      </c>
      <c r="G27" s="57"/>
      <c r="H27" s="54"/>
      <c r="I27" s="70" t="e">
        <f>VLOOKUP(I26, choices!$M$2:$N$6, 2, 0)</f>
        <v>#N/A</v>
      </c>
      <c r="J27" s="228"/>
    </row>
    <row r="28" spans="1:10" ht="21" x14ac:dyDescent="0.4">
      <c r="A28" s="231" t="s">
        <v>264</v>
      </c>
      <c r="B28" s="232"/>
      <c r="C28" s="232"/>
      <c r="D28" s="232"/>
      <c r="E28" s="232"/>
      <c r="F28" s="232"/>
      <c r="G28" s="232"/>
      <c r="H28" s="232"/>
      <c r="I28" s="232"/>
      <c r="J28" s="228"/>
    </row>
    <row r="29" spans="1:10" ht="10.050000000000001" customHeight="1" thickBot="1" x14ac:dyDescent="0.35">
      <c r="A29" s="233"/>
      <c r="B29" s="234"/>
      <c r="C29" s="55"/>
      <c r="D29" s="55"/>
      <c r="E29" s="55"/>
      <c r="F29" s="55"/>
      <c r="G29" s="55"/>
      <c r="H29" s="55"/>
      <c r="I29" s="55"/>
      <c r="J29" s="228"/>
    </row>
    <row r="30" spans="1:10" ht="14.4" customHeight="1" x14ac:dyDescent="0.3">
      <c r="A30" s="233"/>
      <c r="B30" s="143" t="s">
        <v>259</v>
      </c>
      <c r="C30" s="152"/>
      <c r="D30" s="152"/>
      <c r="E30" s="153"/>
      <c r="F30" s="81" t="s">
        <v>232</v>
      </c>
      <c r="G30" s="76" t="b">
        <v>0</v>
      </c>
      <c r="H30" s="72" t="s">
        <v>241</v>
      </c>
      <c r="I30" s="84" t="s">
        <v>239</v>
      </c>
      <c r="J30" s="235" t="b">
        <v>0</v>
      </c>
    </row>
    <row r="31" spans="1:10" ht="14.4" customHeight="1" thickBot="1" x14ac:dyDescent="0.35">
      <c r="A31" s="233"/>
      <c r="B31" s="145"/>
      <c r="C31" s="154"/>
      <c r="D31" s="154"/>
      <c r="E31" s="155"/>
      <c r="F31" s="82" t="s">
        <v>243</v>
      </c>
      <c r="G31" s="76" t="b">
        <v>0</v>
      </c>
      <c r="H31" s="72" t="s">
        <v>242</v>
      </c>
      <c r="I31" s="85" t="s">
        <v>240</v>
      </c>
      <c r="J31" s="235" t="b">
        <v>0</v>
      </c>
    </row>
    <row r="32" spans="1:10" ht="14.4" customHeight="1" x14ac:dyDescent="0.3">
      <c r="A32" s="233"/>
      <c r="B32" s="145"/>
      <c r="C32" s="154"/>
      <c r="D32" s="154"/>
      <c r="E32" s="155"/>
      <c r="F32" s="82" t="s">
        <v>233</v>
      </c>
      <c r="G32" s="76" t="b">
        <v>0</v>
      </c>
      <c r="H32" s="55"/>
      <c r="I32" s="55"/>
      <c r="J32" s="228"/>
    </row>
    <row r="33" spans="1:10" ht="14.4" customHeight="1" x14ac:dyDescent="0.3">
      <c r="A33" s="233"/>
      <c r="B33" s="145"/>
      <c r="C33" s="154"/>
      <c r="D33" s="154"/>
      <c r="E33" s="155"/>
      <c r="F33" s="82" t="s">
        <v>234</v>
      </c>
      <c r="G33" s="76" t="b">
        <v>0</v>
      </c>
      <c r="H33" s="55"/>
      <c r="I33" s="55"/>
      <c r="J33" s="228"/>
    </row>
    <row r="34" spans="1:10" ht="14.4" customHeight="1" x14ac:dyDescent="0.3">
      <c r="A34" s="233"/>
      <c r="B34" s="145"/>
      <c r="C34" s="154"/>
      <c r="D34" s="154"/>
      <c r="E34" s="155"/>
      <c r="F34" s="82" t="s">
        <v>235</v>
      </c>
      <c r="G34" s="76" t="b">
        <v>1</v>
      </c>
      <c r="H34" s="55"/>
      <c r="I34" s="55"/>
      <c r="J34" s="228"/>
    </row>
    <row r="35" spans="1:10" ht="14.4" customHeight="1" x14ac:dyDescent="0.3">
      <c r="A35" s="233"/>
      <c r="B35" s="145"/>
      <c r="C35" s="154"/>
      <c r="D35" s="154"/>
      <c r="E35" s="155"/>
      <c r="F35" s="82" t="s">
        <v>236</v>
      </c>
      <c r="G35" s="76" t="b">
        <v>1</v>
      </c>
      <c r="H35" s="55"/>
      <c r="I35" s="55"/>
      <c r="J35" s="228"/>
    </row>
    <row r="36" spans="1:10" ht="14.4" customHeight="1" x14ac:dyDescent="0.3">
      <c r="A36" s="233"/>
      <c r="B36" s="145"/>
      <c r="C36" s="154"/>
      <c r="D36" s="154"/>
      <c r="E36" s="155"/>
      <c r="F36" s="82" t="s">
        <v>237</v>
      </c>
      <c r="G36" s="76" t="b">
        <v>0</v>
      </c>
      <c r="H36" s="55"/>
      <c r="I36" s="55"/>
      <c r="J36" s="228"/>
    </row>
    <row r="37" spans="1:10" ht="14.4" customHeight="1" thickBot="1" x14ac:dyDescent="0.35">
      <c r="A37" s="233"/>
      <c r="B37" s="147"/>
      <c r="C37" s="156"/>
      <c r="D37" s="156"/>
      <c r="E37" s="157"/>
      <c r="F37" s="83" t="s">
        <v>238</v>
      </c>
      <c r="G37" s="76" t="b">
        <v>0</v>
      </c>
      <c r="H37" s="55"/>
      <c r="I37" s="55"/>
      <c r="J37" s="228"/>
    </row>
    <row r="38" spans="1:10" ht="10.050000000000001" customHeight="1" x14ac:dyDescent="0.3">
      <c r="A38" s="233"/>
      <c r="B38" s="236"/>
      <c r="C38" s="236"/>
      <c r="D38" s="55"/>
      <c r="E38" s="55"/>
      <c r="F38" s="55"/>
      <c r="G38" s="55"/>
      <c r="H38" s="55"/>
      <c r="I38" s="55"/>
      <c r="J38" s="228"/>
    </row>
    <row r="39" spans="1:10" ht="21" x14ac:dyDescent="0.4">
      <c r="A39" s="231" t="s">
        <v>265</v>
      </c>
      <c r="B39" s="232"/>
      <c r="C39" s="232"/>
      <c r="D39" s="232"/>
      <c r="E39" s="232"/>
      <c r="F39" s="232"/>
      <c r="G39" s="232"/>
      <c r="H39" s="232"/>
      <c r="I39" s="232"/>
      <c r="J39" s="228"/>
    </row>
    <row r="40" spans="1:10" ht="10.050000000000001" customHeight="1" thickBot="1" x14ac:dyDescent="0.35">
      <c r="A40" s="233"/>
      <c r="B40" s="234"/>
      <c r="C40" s="55"/>
      <c r="D40" s="55"/>
      <c r="E40" s="55"/>
      <c r="F40" s="55"/>
      <c r="G40" s="55"/>
      <c r="H40" s="55"/>
      <c r="I40" s="55"/>
      <c r="J40" s="228"/>
    </row>
    <row r="41" spans="1:10" ht="14.4" customHeight="1" x14ac:dyDescent="0.3">
      <c r="A41" s="233"/>
      <c r="B41" s="143" t="s">
        <v>258</v>
      </c>
      <c r="C41" s="144"/>
      <c r="D41" s="76" t="b">
        <v>0</v>
      </c>
      <c r="E41" s="86" t="s">
        <v>244</v>
      </c>
      <c r="F41" s="87"/>
      <c r="G41" s="78" t="b">
        <v>0</v>
      </c>
      <c r="H41" s="86" t="s">
        <v>252</v>
      </c>
      <c r="I41" s="87"/>
      <c r="J41" s="228"/>
    </row>
    <row r="42" spans="1:10" x14ac:dyDescent="0.3">
      <c r="A42" s="233"/>
      <c r="B42" s="145"/>
      <c r="C42" s="146"/>
      <c r="D42" s="76" t="b">
        <v>0</v>
      </c>
      <c r="E42" s="88" t="s">
        <v>245</v>
      </c>
      <c r="F42" s="89"/>
      <c r="G42" s="78" t="b">
        <v>0</v>
      </c>
      <c r="H42" s="88" t="s">
        <v>253</v>
      </c>
      <c r="I42" s="89"/>
      <c r="J42" s="228"/>
    </row>
    <row r="43" spans="1:10" x14ac:dyDescent="0.3">
      <c r="A43" s="233"/>
      <c r="B43" s="145"/>
      <c r="C43" s="146"/>
      <c r="D43" s="76" t="b">
        <v>0</v>
      </c>
      <c r="E43" s="88" t="s">
        <v>246</v>
      </c>
      <c r="F43" s="89"/>
      <c r="G43" s="78" t="b">
        <v>1</v>
      </c>
      <c r="H43" s="88" t="s">
        <v>254</v>
      </c>
      <c r="I43" s="89"/>
      <c r="J43" s="228"/>
    </row>
    <row r="44" spans="1:10" x14ac:dyDescent="0.3">
      <c r="A44" s="233"/>
      <c r="B44" s="145"/>
      <c r="C44" s="146"/>
      <c r="D44" s="76" t="b">
        <v>0</v>
      </c>
      <c r="E44" s="88" t="s">
        <v>247</v>
      </c>
      <c r="F44" s="89"/>
      <c r="G44" s="78" t="b">
        <v>0</v>
      </c>
      <c r="H44" s="92" t="s">
        <v>255</v>
      </c>
      <c r="I44" s="93"/>
      <c r="J44" s="228"/>
    </row>
    <row r="45" spans="1:10" x14ac:dyDescent="0.3">
      <c r="A45" s="233"/>
      <c r="B45" s="145"/>
      <c r="C45" s="146"/>
      <c r="D45" s="76" t="b">
        <v>0</v>
      </c>
      <c r="E45" s="88" t="s">
        <v>248</v>
      </c>
      <c r="F45" s="89"/>
      <c r="G45" s="78" t="b">
        <v>0</v>
      </c>
      <c r="H45" s="88" t="s">
        <v>256</v>
      </c>
      <c r="I45" s="89"/>
      <c r="J45" s="228"/>
    </row>
    <row r="46" spans="1:10" ht="15" thickBot="1" x14ac:dyDescent="0.35">
      <c r="A46" s="233"/>
      <c r="B46" s="145"/>
      <c r="C46" s="146"/>
      <c r="D46" s="76" t="b">
        <v>1</v>
      </c>
      <c r="E46" s="88" t="s">
        <v>249</v>
      </c>
      <c r="F46" s="89"/>
      <c r="G46" s="78" t="b">
        <v>0</v>
      </c>
      <c r="H46" s="90" t="s">
        <v>257</v>
      </c>
      <c r="I46" s="91"/>
      <c r="J46" s="228"/>
    </row>
    <row r="47" spans="1:10" x14ac:dyDescent="0.3">
      <c r="A47" s="233"/>
      <c r="B47" s="145"/>
      <c r="C47" s="146"/>
      <c r="D47" s="76" t="b">
        <v>0</v>
      </c>
      <c r="E47" s="88" t="s">
        <v>250</v>
      </c>
      <c r="F47" s="89"/>
      <c r="G47" s="77"/>
      <c r="H47" s="77"/>
      <c r="I47" s="77"/>
      <c r="J47" s="228"/>
    </row>
    <row r="48" spans="1:10" ht="15" thickBot="1" x14ac:dyDescent="0.35">
      <c r="A48" s="233"/>
      <c r="B48" s="147"/>
      <c r="C48" s="148"/>
      <c r="D48" s="76" t="b">
        <v>0</v>
      </c>
      <c r="E48" s="90" t="s">
        <v>251</v>
      </c>
      <c r="F48" s="91"/>
      <c r="G48" s="77"/>
      <c r="H48" s="77"/>
      <c r="I48" s="77"/>
      <c r="J48" s="228"/>
    </row>
    <row r="49" spans="1:10" ht="10.050000000000001" customHeight="1" x14ac:dyDescent="0.3">
      <c r="A49" s="233"/>
      <c r="B49" s="234"/>
      <c r="C49" s="55"/>
      <c r="D49" s="55"/>
      <c r="E49" s="55"/>
      <c r="F49" s="55"/>
      <c r="G49" s="55"/>
      <c r="H49" s="55"/>
      <c r="I49" s="55"/>
      <c r="J49" s="228"/>
    </row>
    <row r="50" spans="1:10" ht="21" customHeight="1" x14ac:dyDescent="0.4">
      <c r="A50" s="237" t="s">
        <v>266</v>
      </c>
      <c r="B50" s="142"/>
      <c r="C50" s="142"/>
      <c r="D50" s="142"/>
      <c r="E50" s="142"/>
      <c r="F50" s="142"/>
      <c r="G50" s="142"/>
      <c r="H50" s="142"/>
      <c r="I50" s="142"/>
      <c r="J50" s="228"/>
    </row>
    <row r="51" spans="1:10" ht="10.050000000000001" customHeight="1" x14ac:dyDescent="0.4">
      <c r="A51" s="187"/>
      <c r="B51" s="96"/>
      <c r="C51" s="96"/>
      <c r="D51" s="96"/>
      <c r="E51" s="96"/>
      <c r="F51" s="96"/>
      <c r="G51" s="96"/>
      <c r="H51" s="96"/>
      <c r="I51" s="96"/>
      <c r="J51" s="228"/>
    </row>
    <row r="52" spans="1:10" s="186" customFormat="1" ht="14.4" customHeight="1" thickBot="1" x14ac:dyDescent="0.35">
      <c r="A52" s="238"/>
      <c r="B52" s="183"/>
      <c r="C52" s="183"/>
      <c r="D52" s="183"/>
      <c r="E52" s="183" t="s">
        <v>268</v>
      </c>
      <c r="F52" s="183" t="s">
        <v>269</v>
      </c>
      <c r="G52" s="183"/>
      <c r="H52" s="183" t="s">
        <v>268</v>
      </c>
      <c r="I52" s="183" t="s">
        <v>269</v>
      </c>
      <c r="J52" s="239"/>
    </row>
    <row r="53" spans="1:10" ht="14.4" customHeight="1" x14ac:dyDescent="0.3">
      <c r="A53" s="194"/>
      <c r="B53" s="193" t="s">
        <v>267</v>
      </c>
      <c r="C53" s="188"/>
      <c r="D53" s="185">
        <v>1</v>
      </c>
      <c r="E53" s="222" t="s">
        <v>25</v>
      </c>
      <c r="F53" s="223" t="s">
        <v>43</v>
      </c>
      <c r="G53" s="185">
        <v>6</v>
      </c>
      <c r="H53" s="222"/>
      <c r="I53" s="223"/>
      <c r="J53" s="228"/>
    </row>
    <row r="54" spans="1:10" ht="14.4" customHeight="1" x14ac:dyDescent="0.3">
      <c r="A54" s="194"/>
      <c r="B54" s="189"/>
      <c r="C54" s="190"/>
      <c r="D54" s="185">
        <v>2</v>
      </c>
      <c r="E54" s="197" t="s">
        <v>25</v>
      </c>
      <c r="F54" s="195" t="s">
        <v>44</v>
      </c>
      <c r="G54" s="185">
        <v>7</v>
      </c>
      <c r="H54" s="197"/>
      <c r="I54" s="195"/>
      <c r="J54" s="228"/>
    </row>
    <row r="55" spans="1:10" ht="14.4" customHeight="1" x14ac:dyDescent="0.3">
      <c r="A55" s="194"/>
      <c r="B55" s="189"/>
      <c r="C55" s="190"/>
      <c r="D55" s="185">
        <v>3</v>
      </c>
      <c r="E55" s="197" t="s">
        <v>25</v>
      </c>
      <c r="F55" s="195" t="s">
        <v>46</v>
      </c>
      <c r="G55" s="185">
        <v>8</v>
      </c>
      <c r="H55" s="197"/>
      <c r="I55" s="195"/>
      <c r="J55" s="228"/>
    </row>
    <row r="56" spans="1:10" ht="14.4" customHeight="1" x14ac:dyDescent="0.3">
      <c r="A56" s="194"/>
      <c r="B56" s="189"/>
      <c r="C56" s="190"/>
      <c r="D56" s="185">
        <v>4</v>
      </c>
      <c r="E56" s="197"/>
      <c r="F56" s="195"/>
      <c r="G56" s="185">
        <v>9</v>
      </c>
      <c r="H56" s="197"/>
      <c r="I56" s="195"/>
      <c r="J56" s="228"/>
    </row>
    <row r="57" spans="1:10" ht="14.4" customHeight="1" thickBot="1" x14ac:dyDescent="0.35">
      <c r="A57" s="194"/>
      <c r="B57" s="191"/>
      <c r="C57" s="192"/>
      <c r="D57" s="185">
        <v>5</v>
      </c>
      <c r="E57" s="198"/>
      <c r="F57" s="196"/>
      <c r="G57" s="185">
        <v>10</v>
      </c>
      <c r="H57" s="198"/>
      <c r="I57" s="196"/>
      <c r="J57" s="228"/>
    </row>
    <row r="58" spans="1:10" ht="10.050000000000001" customHeight="1" x14ac:dyDescent="0.3">
      <c r="A58" s="240"/>
      <c r="B58" s="184"/>
      <c r="C58" s="184"/>
      <c r="D58" s="184"/>
      <c r="E58" s="184"/>
      <c r="F58" s="184"/>
      <c r="G58" s="184"/>
      <c r="H58" s="184"/>
      <c r="I58" s="184"/>
      <c r="J58" s="228"/>
    </row>
    <row r="59" spans="1:10" ht="21" customHeight="1" x14ac:dyDescent="0.4">
      <c r="A59" s="237" t="s">
        <v>299</v>
      </c>
      <c r="B59" s="142"/>
      <c r="C59" s="142"/>
      <c r="D59" s="142"/>
      <c r="E59" s="142"/>
      <c r="F59" s="142"/>
      <c r="G59" s="142"/>
      <c r="H59" s="142"/>
      <c r="I59" s="142"/>
      <c r="J59" s="228"/>
    </row>
    <row r="60" spans="1:10" ht="10.050000000000001" customHeight="1" x14ac:dyDescent="0.4">
      <c r="A60" s="187"/>
      <c r="B60" s="96"/>
      <c r="C60" s="96"/>
      <c r="D60" s="96"/>
      <c r="E60" s="96"/>
      <c r="F60" s="96"/>
      <c r="G60" s="96"/>
      <c r="H60" s="96"/>
      <c r="I60" s="96"/>
      <c r="J60" s="228"/>
    </row>
    <row r="61" spans="1:10" s="186" customFormat="1" ht="14.4" customHeight="1" thickBot="1" x14ac:dyDescent="0.35">
      <c r="A61" s="238"/>
      <c r="B61" s="183"/>
      <c r="C61" s="183"/>
      <c r="D61" s="183"/>
      <c r="E61" s="183" t="s">
        <v>268</v>
      </c>
      <c r="F61" s="183" t="s">
        <v>269</v>
      </c>
      <c r="G61" s="183"/>
      <c r="H61" s="183" t="s">
        <v>268</v>
      </c>
      <c r="I61" s="183" t="s">
        <v>269</v>
      </c>
      <c r="J61" s="239"/>
    </row>
    <row r="62" spans="1:10" ht="14.4" customHeight="1" x14ac:dyDescent="0.3">
      <c r="A62" s="194"/>
      <c r="B62" s="193" t="s">
        <v>300</v>
      </c>
      <c r="C62" s="188"/>
      <c r="D62" s="185">
        <v>1</v>
      </c>
      <c r="E62" s="222" t="s">
        <v>193</v>
      </c>
      <c r="F62" s="223"/>
      <c r="G62" s="185">
        <v>6</v>
      </c>
      <c r="H62" s="222"/>
      <c r="I62" s="223"/>
      <c r="J62" s="228"/>
    </row>
    <row r="63" spans="1:10" ht="14.4" customHeight="1" x14ac:dyDescent="0.3">
      <c r="A63" s="194"/>
      <c r="B63" s="189"/>
      <c r="C63" s="190"/>
      <c r="D63" s="185">
        <v>2</v>
      </c>
      <c r="E63" s="197" t="s">
        <v>187</v>
      </c>
      <c r="F63" s="195" t="s">
        <v>44</v>
      </c>
      <c r="G63" s="185">
        <v>7</v>
      </c>
      <c r="H63" s="197"/>
      <c r="I63" s="195"/>
      <c r="J63" s="228"/>
    </row>
    <row r="64" spans="1:10" ht="14.4" customHeight="1" x14ac:dyDescent="0.3">
      <c r="A64" s="194"/>
      <c r="B64" s="189"/>
      <c r="C64" s="190"/>
      <c r="D64" s="185">
        <v>3</v>
      </c>
      <c r="E64" s="197"/>
      <c r="F64" s="195"/>
      <c r="G64" s="185">
        <v>8</v>
      </c>
      <c r="H64" s="197"/>
      <c r="I64" s="195"/>
      <c r="J64" s="228"/>
    </row>
    <row r="65" spans="1:10" ht="14.4" customHeight="1" x14ac:dyDescent="0.3">
      <c r="A65" s="194"/>
      <c r="B65" s="189"/>
      <c r="C65" s="190"/>
      <c r="D65" s="185">
        <v>4</v>
      </c>
      <c r="E65" s="197"/>
      <c r="F65" s="195"/>
      <c r="G65" s="185">
        <v>9</v>
      </c>
      <c r="H65" s="197"/>
      <c r="I65" s="195"/>
      <c r="J65" s="228"/>
    </row>
    <row r="66" spans="1:10" ht="14.4" customHeight="1" thickBot="1" x14ac:dyDescent="0.35">
      <c r="A66" s="194"/>
      <c r="B66" s="191"/>
      <c r="C66" s="192"/>
      <c r="D66" s="185">
        <v>5</v>
      </c>
      <c r="E66" s="198"/>
      <c r="F66" s="196"/>
      <c r="G66" s="185">
        <v>10</v>
      </c>
      <c r="H66" s="198"/>
      <c r="I66" s="196"/>
      <c r="J66" s="228"/>
    </row>
    <row r="67" spans="1:10" ht="10.050000000000001" customHeight="1" x14ac:dyDescent="0.3">
      <c r="A67" s="240"/>
      <c r="B67" s="184"/>
      <c r="C67" s="184"/>
      <c r="D67" s="184"/>
      <c r="E67" s="184"/>
      <c r="F67" s="184"/>
      <c r="G67" s="184"/>
      <c r="H67" s="184"/>
      <c r="I67" s="184"/>
      <c r="J67" s="228"/>
    </row>
    <row r="68" spans="1:10" ht="21" customHeight="1" x14ac:dyDescent="0.4">
      <c r="A68" s="237" t="s">
        <v>270</v>
      </c>
      <c r="B68" s="142"/>
      <c r="C68" s="142"/>
      <c r="D68" s="142"/>
      <c r="E68" s="142"/>
      <c r="F68" s="142"/>
      <c r="G68" s="142"/>
      <c r="H68" s="142"/>
      <c r="I68" s="142"/>
      <c r="J68" s="228"/>
    </row>
    <row r="69" spans="1:10" ht="10.050000000000001" customHeight="1" thickBot="1" x14ac:dyDescent="0.35">
      <c r="A69" s="240"/>
      <c r="B69" s="184"/>
      <c r="C69" s="184"/>
      <c r="D69" s="184"/>
      <c r="E69" s="184"/>
      <c r="F69" s="184"/>
      <c r="G69" s="184"/>
      <c r="H69" s="184"/>
      <c r="I69" s="184"/>
      <c r="J69" s="228"/>
    </row>
    <row r="70" spans="1:10" ht="14.4" customHeight="1" x14ac:dyDescent="0.3">
      <c r="A70" s="240"/>
      <c r="B70" s="193" t="s">
        <v>271</v>
      </c>
      <c r="C70" s="199"/>
      <c r="D70" s="204" t="b">
        <v>0</v>
      </c>
      <c r="E70" s="207" t="s">
        <v>272</v>
      </c>
      <c r="F70" s="208"/>
      <c r="G70" s="184"/>
      <c r="H70" s="184"/>
      <c r="I70" s="184"/>
      <c r="J70" s="228"/>
    </row>
    <row r="71" spans="1:10" ht="14.4" customHeight="1" x14ac:dyDescent="0.3">
      <c r="A71" s="233"/>
      <c r="B71" s="200"/>
      <c r="C71" s="201"/>
      <c r="D71" s="76" t="b">
        <v>1</v>
      </c>
      <c r="E71" s="209" t="s">
        <v>273</v>
      </c>
      <c r="F71" s="210"/>
      <c r="G71" s="95"/>
      <c r="H71" s="95"/>
      <c r="I71" s="95"/>
      <c r="J71" s="228"/>
    </row>
    <row r="72" spans="1:10" ht="14.4" customHeight="1" x14ac:dyDescent="0.3">
      <c r="A72" s="233"/>
      <c r="B72" s="200"/>
      <c r="C72" s="201"/>
      <c r="D72" s="76" t="b">
        <v>0</v>
      </c>
      <c r="E72" s="209" t="s">
        <v>274</v>
      </c>
      <c r="F72" s="210"/>
      <c r="G72" s="95"/>
      <c r="H72" s="95"/>
      <c r="I72" s="95"/>
      <c r="J72" s="228"/>
    </row>
    <row r="73" spans="1:10" ht="14.4" customHeight="1" x14ac:dyDescent="0.3">
      <c r="A73" s="233"/>
      <c r="B73" s="200"/>
      <c r="C73" s="201"/>
      <c r="D73" s="76" t="b">
        <v>0</v>
      </c>
      <c r="E73" s="209" t="s">
        <v>275</v>
      </c>
      <c r="F73" s="210"/>
      <c r="G73" s="95"/>
      <c r="H73" s="95"/>
      <c r="I73" s="95"/>
      <c r="J73" s="228"/>
    </row>
    <row r="74" spans="1:10" ht="14.4" customHeight="1" x14ac:dyDescent="0.3">
      <c r="A74" s="233"/>
      <c r="B74" s="200"/>
      <c r="C74" s="201"/>
      <c r="D74" s="76" t="b">
        <v>1</v>
      </c>
      <c r="E74" s="209" t="s">
        <v>276</v>
      </c>
      <c r="F74" s="210"/>
      <c r="G74" s="95"/>
      <c r="H74" s="95"/>
      <c r="I74" s="95"/>
      <c r="J74" s="228"/>
    </row>
    <row r="75" spans="1:10" ht="14.4" customHeight="1" x14ac:dyDescent="0.3">
      <c r="A75" s="233"/>
      <c r="B75" s="200"/>
      <c r="C75" s="201"/>
      <c r="D75" s="76" t="b">
        <v>0</v>
      </c>
      <c r="E75" s="209" t="s">
        <v>277</v>
      </c>
      <c r="F75" s="210"/>
      <c r="G75" s="95"/>
      <c r="H75" s="95"/>
      <c r="I75" s="95"/>
      <c r="J75" s="228"/>
    </row>
    <row r="76" spans="1:10" ht="14.4" customHeight="1" x14ac:dyDescent="0.3">
      <c r="A76" s="233"/>
      <c r="B76" s="200"/>
      <c r="C76" s="201"/>
      <c r="D76" s="76" t="b">
        <v>0</v>
      </c>
      <c r="E76" s="209" t="s">
        <v>278</v>
      </c>
      <c r="F76" s="210"/>
      <c r="G76" s="95"/>
      <c r="H76" s="95"/>
      <c r="I76" s="95"/>
      <c r="J76" s="228"/>
    </row>
    <row r="77" spans="1:10" ht="14.4" customHeight="1" thickBot="1" x14ac:dyDescent="0.35">
      <c r="A77" s="233" t="s">
        <v>279</v>
      </c>
      <c r="B77" s="202"/>
      <c r="C77" s="203"/>
      <c r="D77" s="76" t="b">
        <v>0</v>
      </c>
      <c r="E77" s="211" t="s">
        <v>280</v>
      </c>
      <c r="F77" s="212"/>
      <c r="G77" s="95"/>
      <c r="H77" s="95"/>
      <c r="I77" s="95"/>
      <c r="J77" s="228"/>
    </row>
    <row r="78" spans="1:10" ht="14.4" customHeight="1" x14ac:dyDescent="0.3">
      <c r="A78" s="233"/>
      <c r="B78" s="206"/>
      <c r="C78" s="206"/>
      <c r="D78" s="76"/>
      <c r="E78" s="205"/>
      <c r="F78" s="94"/>
      <c r="G78" s="95"/>
      <c r="H78" s="95"/>
      <c r="I78" s="95"/>
      <c r="J78" s="228"/>
    </row>
    <row r="79" spans="1:10" ht="21" customHeight="1" x14ac:dyDescent="0.4">
      <c r="A79" s="237" t="s">
        <v>281</v>
      </c>
      <c r="B79" s="142"/>
      <c r="C79" s="142"/>
      <c r="D79" s="142"/>
      <c r="E79" s="142"/>
      <c r="F79" s="142"/>
      <c r="G79" s="142"/>
      <c r="H79" s="142"/>
      <c r="I79" s="142"/>
      <c r="J79" s="228"/>
    </row>
    <row r="80" spans="1:10" ht="10.050000000000001" customHeight="1" thickBot="1" x14ac:dyDescent="0.35">
      <c r="A80" s="233"/>
      <c r="B80" s="241"/>
      <c r="C80" s="241"/>
      <c r="D80" s="55"/>
      <c r="E80" s="75"/>
      <c r="F80" s="94"/>
      <c r="G80" s="95"/>
      <c r="H80" s="95"/>
      <c r="I80" s="95"/>
      <c r="J80" s="228"/>
    </row>
    <row r="81" spans="1:10" ht="14.4" customHeight="1" thickBot="1" x14ac:dyDescent="0.35">
      <c r="A81" s="233"/>
      <c r="B81" s="143" t="s">
        <v>282</v>
      </c>
      <c r="C81" s="144"/>
      <c r="D81" s="55"/>
      <c r="E81" s="75"/>
      <c r="F81" s="94"/>
      <c r="G81" s="95"/>
      <c r="H81" s="95"/>
      <c r="I81" s="95"/>
      <c r="J81" s="228"/>
    </row>
    <row r="82" spans="1:10" ht="14.4" customHeight="1" thickBot="1" x14ac:dyDescent="0.35">
      <c r="A82" s="233"/>
      <c r="B82" s="145"/>
      <c r="C82" s="146"/>
      <c r="D82" s="76">
        <f>IF(E82="Paper", 1, IF(E82="CAPI", 2, 3))</f>
        <v>2</v>
      </c>
      <c r="E82" s="149" t="s">
        <v>201</v>
      </c>
      <c r="F82" s="150"/>
      <c r="G82" s="95"/>
      <c r="H82" s="95"/>
      <c r="I82" s="95"/>
      <c r="J82" s="228"/>
    </row>
    <row r="83" spans="1:10" ht="14.4" customHeight="1" thickBot="1" x14ac:dyDescent="0.35">
      <c r="A83" s="233"/>
      <c r="B83" s="147"/>
      <c r="C83" s="148"/>
      <c r="D83" s="55"/>
      <c r="E83" s="75"/>
      <c r="F83" s="94"/>
      <c r="G83" s="95"/>
      <c r="H83" s="95"/>
      <c r="I83" s="95"/>
      <c r="J83" s="228"/>
    </row>
    <row r="84" spans="1:10" ht="10.050000000000001" customHeight="1" x14ac:dyDescent="0.3">
      <c r="A84" s="233"/>
      <c r="B84" s="206"/>
      <c r="C84" s="206"/>
      <c r="D84" s="76"/>
      <c r="E84" s="205"/>
      <c r="F84" s="94"/>
      <c r="G84" s="95"/>
      <c r="H84" s="95"/>
      <c r="I84" s="95"/>
      <c r="J84" s="228"/>
    </row>
    <row r="85" spans="1:10" ht="21" customHeight="1" x14ac:dyDescent="0.4">
      <c r="A85" s="237" t="s">
        <v>283</v>
      </c>
      <c r="B85" s="142"/>
      <c r="C85" s="142"/>
      <c r="D85" s="142"/>
      <c r="E85" s="142"/>
      <c r="F85" s="142"/>
      <c r="G85" s="142"/>
      <c r="H85" s="142"/>
      <c r="I85" s="142"/>
      <c r="J85" s="228"/>
    </row>
    <row r="86" spans="1:10" ht="10.050000000000001" customHeight="1" thickBot="1" x14ac:dyDescent="0.35">
      <c r="A86" s="233"/>
      <c r="B86" s="206"/>
      <c r="C86" s="206"/>
      <c r="D86" s="76"/>
      <c r="E86" s="205"/>
      <c r="F86" s="94"/>
      <c r="G86" s="95"/>
      <c r="H86" s="95"/>
      <c r="I86" s="95"/>
      <c r="J86" s="228"/>
    </row>
    <row r="87" spans="1:10" ht="14.4" customHeight="1" x14ac:dyDescent="0.3">
      <c r="A87" s="233"/>
      <c r="B87" s="193" t="s">
        <v>297</v>
      </c>
      <c r="C87" s="214"/>
      <c r="D87" s="76" t="b">
        <v>1</v>
      </c>
      <c r="E87" s="207" t="s">
        <v>287</v>
      </c>
      <c r="F87" s="213"/>
      <c r="G87" s="95"/>
      <c r="H87" s="95"/>
      <c r="I87" s="95"/>
      <c r="J87" s="228"/>
    </row>
    <row r="88" spans="1:10" ht="14.4" customHeight="1" x14ac:dyDescent="0.3">
      <c r="A88" s="233"/>
      <c r="B88" s="215"/>
      <c r="C88" s="216"/>
      <c r="D88" s="76" t="b">
        <v>1</v>
      </c>
      <c r="E88" s="209" t="s">
        <v>285</v>
      </c>
      <c r="F88" s="210"/>
      <c r="G88" s="95"/>
      <c r="H88" s="95"/>
      <c r="I88" s="95"/>
      <c r="J88" s="228"/>
    </row>
    <row r="89" spans="1:10" ht="14.4" customHeight="1" x14ac:dyDescent="0.3">
      <c r="A89" s="233"/>
      <c r="B89" s="215"/>
      <c r="C89" s="216"/>
      <c r="D89" s="76" t="b">
        <v>1</v>
      </c>
      <c r="E89" s="209" t="s">
        <v>284</v>
      </c>
      <c r="F89" s="210"/>
      <c r="G89" s="95"/>
      <c r="H89" s="95"/>
      <c r="I89" s="95"/>
      <c r="J89" s="228"/>
    </row>
    <row r="90" spans="1:10" ht="14.4" customHeight="1" thickBot="1" x14ac:dyDescent="0.35">
      <c r="A90" s="233"/>
      <c r="B90" s="217"/>
      <c r="C90" s="218"/>
      <c r="D90" s="76" t="b">
        <v>1</v>
      </c>
      <c r="E90" s="211" t="s">
        <v>286</v>
      </c>
      <c r="F90" s="212"/>
      <c r="G90" s="95"/>
      <c r="H90" s="95"/>
      <c r="I90" s="95"/>
      <c r="J90" s="228"/>
    </row>
    <row r="91" spans="1:10" ht="10.050000000000001" customHeight="1" x14ac:dyDescent="0.3">
      <c r="A91" s="233"/>
      <c r="B91" s="206"/>
      <c r="C91" s="206"/>
      <c r="D91" s="76"/>
      <c r="E91" s="205"/>
      <c r="F91" s="94"/>
      <c r="G91" s="95"/>
      <c r="H91" s="95"/>
      <c r="I91" s="95"/>
      <c r="J91" s="228"/>
    </row>
    <row r="92" spans="1:10" ht="21" customHeight="1" x14ac:dyDescent="0.4">
      <c r="A92" s="237" t="s">
        <v>289</v>
      </c>
      <c r="B92" s="142"/>
      <c r="C92" s="142"/>
      <c r="D92" s="142"/>
      <c r="E92" s="142"/>
      <c r="F92" s="142"/>
      <c r="G92" s="142"/>
      <c r="H92" s="142"/>
      <c r="I92" s="142"/>
      <c r="J92" s="228"/>
    </row>
    <row r="93" spans="1:10" ht="10.050000000000001" customHeight="1" thickBot="1" x14ac:dyDescent="0.35">
      <c r="A93" s="233"/>
      <c r="B93" s="241"/>
      <c r="C93" s="241"/>
      <c r="D93" s="55"/>
      <c r="E93" s="75"/>
      <c r="F93" s="94"/>
      <c r="G93" s="95"/>
      <c r="H93" s="95"/>
      <c r="I93" s="95"/>
      <c r="J93" s="228"/>
    </row>
    <row r="94" spans="1:10" ht="14.4" customHeight="1" thickBot="1" x14ac:dyDescent="0.35">
      <c r="A94" s="233"/>
      <c r="B94" s="143" t="s">
        <v>288</v>
      </c>
      <c r="C94" s="144"/>
      <c r="D94" s="55"/>
      <c r="E94" s="75"/>
      <c r="F94" s="94"/>
      <c r="G94" s="95"/>
      <c r="H94" s="95"/>
      <c r="I94" s="95"/>
      <c r="J94" s="228"/>
    </row>
    <row r="95" spans="1:10" ht="14.4" customHeight="1" thickBot="1" x14ac:dyDescent="0.35">
      <c r="A95" s="233"/>
      <c r="B95" s="145"/>
      <c r="C95" s="146"/>
      <c r="D95" s="76">
        <f>IF(E95="Phone", 1, IF(E95="Field", 2, 3))</f>
        <v>2</v>
      </c>
      <c r="E95" s="149" t="s">
        <v>208</v>
      </c>
      <c r="F95" s="150"/>
      <c r="G95" s="95"/>
      <c r="H95" s="95"/>
      <c r="I95" s="95"/>
      <c r="J95" s="228"/>
    </row>
    <row r="96" spans="1:10" ht="14.4" customHeight="1" thickBot="1" x14ac:dyDescent="0.35">
      <c r="A96" s="233"/>
      <c r="B96" s="147"/>
      <c r="C96" s="148"/>
      <c r="D96" s="55"/>
      <c r="E96" s="75"/>
      <c r="F96" s="94"/>
      <c r="G96" s="95"/>
      <c r="H96" s="95"/>
      <c r="I96" s="95"/>
      <c r="J96" s="228"/>
    </row>
    <row r="97" spans="1:10" ht="10.050000000000001" customHeight="1" x14ac:dyDescent="0.3">
      <c r="A97" s="233"/>
      <c r="B97" s="206"/>
      <c r="C97" s="206"/>
      <c r="D97" s="76"/>
      <c r="E97" s="205"/>
      <c r="F97" s="94"/>
      <c r="G97" s="95"/>
      <c r="H97" s="95"/>
      <c r="I97" s="95"/>
      <c r="J97" s="228"/>
    </row>
    <row r="98" spans="1:10" ht="21" customHeight="1" x14ac:dyDescent="0.4">
      <c r="A98" s="237" t="s">
        <v>290</v>
      </c>
      <c r="B98" s="142"/>
      <c r="C98" s="142"/>
      <c r="D98" s="142"/>
      <c r="E98" s="142"/>
      <c r="F98" s="142"/>
      <c r="G98" s="142"/>
      <c r="H98" s="142"/>
      <c r="I98" s="142"/>
      <c r="J98" s="228"/>
    </row>
    <row r="99" spans="1:10" ht="10.050000000000001" customHeight="1" thickBot="1" x14ac:dyDescent="0.35">
      <c r="A99" s="233"/>
      <c r="B99" s="241"/>
      <c r="C99" s="241"/>
      <c r="D99" s="55"/>
      <c r="E99" s="75"/>
      <c r="F99" s="94"/>
      <c r="G99" s="95"/>
      <c r="H99" s="95"/>
      <c r="I99" s="95"/>
      <c r="J99" s="228"/>
    </row>
    <row r="100" spans="1:10" ht="14.4" customHeight="1" thickBot="1" x14ac:dyDescent="0.35">
      <c r="A100" s="233"/>
      <c r="B100" s="143" t="s">
        <v>291</v>
      </c>
      <c r="C100" s="144"/>
      <c r="D100" s="55"/>
      <c r="E100" s="75"/>
      <c r="F100" s="94"/>
      <c r="G100" s="95"/>
      <c r="H100" s="95"/>
      <c r="I100" s="95"/>
      <c r="J100" s="228"/>
    </row>
    <row r="101" spans="1:10" ht="14.4" customHeight="1" thickBot="1" x14ac:dyDescent="0.35">
      <c r="A101" s="233"/>
      <c r="B101" s="145"/>
      <c r="C101" s="146"/>
      <c r="D101" s="76">
        <f>IF(E101="Quantitative", 1, IF(E101="Qualitative", 2, 3))</f>
        <v>1</v>
      </c>
      <c r="E101" s="149" t="s">
        <v>210</v>
      </c>
      <c r="F101" s="150"/>
      <c r="G101" s="95"/>
      <c r="H101" s="95"/>
      <c r="I101" s="95"/>
      <c r="J101" s="228"/>
    </row>
    <row r="102" spans="1:10" ht="14.4" customHeight="1" thickBot="1" x14ac:dyDescent="0.35">
      <c r="A102" s="233"/>
      <c r="B102" s="147"/>
      <c r="C102" s="148"/>
      <c r="D102" s="55"/>
      <c r="E102" s="75"/>
      <c r="F102" s="94"/>
      <c r="G102" s="95"/>
      <c r="H102" s="95"/>
      <c r="I102" s="95"/>
      <c r="J102" s="228"/>
    </row>
    <row r="103" spans="1:10" ht="10.050000000000001" customHeight="1" x14ac:dyDescent="0.3">
      <c r="A103" s="233"/>
      <c r="B103" s="206"/>
      <c r="C103" s="206"/>
      <c r="D103" s="76"/>
      <c r="E103" s="205"/>
      <c r="F103" s="94"/>
      <c r="G103" s="95"/>
      <c r="H103" s="95"/>
      <c r="I103" s="95"/>
      <c r="J103" s="228"/>
    </row>
    <row r="104" spans="1:10" ht="21" customHeight="1" x14ac:dyDescent="0.4">
      <c r="A104" s="237" t="s">
        <v>298</v>
      </c>
      <c r="B104" s="142"/>
      <c r="C104" s="142"/>
      <c r="D104" s="142"/>
      <c r="E104" s="142"/>
      <c r="F104" s="142"/>
      <c r="G104" s="142"/>
      <c r="H104" s="142"/>
      <c r="I104" s="142"/>
      <c r="J104" s="228"/>
    </row>
    <row r="105" spans="1:10" ht="10.050000000000001" customHeight="1" thickBot="1" x14ac:dyDescent="0.35">
      <c r="A105" s="233"/>
      <c r="B105" s="241"/>
      <c r="C105" s="241"/>
      <c r="D105" s="55"/>
      <c r="E105" s="75"/>
      <c r="F105" s="94"/>
      <c r="G105" s="95"/>
      <c r="H105" s="95"/>
      <c r="I105" s="95"/>
      <c r="J105" s="228"/>
    </row>
    <row r="106" spans="1:10" ht="14.4" customHeight="1" thickBot="1" x14ac:dyDescent="0.35">
      <c r="A106" s="233"/>
      <c r="B106" s="143" t="s">
        <v>261</v>
      </c>
      <c r="C106" s="144"/>
      <c r="D106" s="55"/>
      <c r="E106" s="75"/>
      <c r="F106" s="94"/>
      <c r="G106" s="95"/>
      <c r="H106" s="95"/>
      <c r="I106" s="95"/>
      <c r="J106" s="228"/>
    </row>
    <row r="107" spans="1:10" ht="14.4" customHeight="1" thickBot="1" x14ac:dyDescent="0.35">
      <c r="A107" s="233"/>
      <c r="B107" s="145"/>
      <c r="C107" s="146"/>
      <c r="D107" s="76">
        <f>VLOOKUP(E107, education_val, 2, 0)</f>
        <v>5</v>
      </c>
      <c r="E107" s="149" t="s">
        <v>174</v>
      </c>
      <c r="F107" s="150"/>
      <c r="G107" s="95"/>
      <c r="H107" s="95"/>
      <c r="I107" s="95"/>
      <c r="J107" s="228"/>
    </row>
    <row r="108" spans="1:10" ht="14.4" customHeight="1" thickBot="1" x14ac:dyDescent="0.35">
      <c r="A108" s="233"/>
      <c r="B108" s="147"/>
      <c r="C108" s="148"/>
      <c r="D108" s="55"/>
      <c r="E108" s="75"/>
      <c r="F108" s="94"/>
      <c r="G108" s="95"/>
      <c r="H108" s="95"/>
      <c r="I108" s="95"/>
      <c r="J108" s="228"/>
    </row>
    <row r="109" spans="1:10" ht="10.050000000000001" customHeight="1" x14ac:dyDescent="0.3">
      <c r="A109" s="233"/>
      <c r="B109" s="241"/>
      <c r="C109" s="241"/>
      <c r="D109" s="55"/>
      <c r="E109" s="75"/>
      <c r="F109" s="94"/>
      <c r="G109" s="95"/>
      <c r="H109" s="95"/>
      <c r="I109" s="95"/>
      <c r="J109" s="228"/>
    </row>
    <row r="110" spans="1:10" ht="21" customHeight="1" x14ac:dyDescent="0.4">
      <c r="A110" s="237" t="s">
        <v>292</v>
      </c>
      <c r="B110" s="142"/>
      <c r="C110" s="142"/>
      <c r="D110" s="142"/>
      <c r="E110" s="142"/>
      <c r="F110" s="142"/>
      <c r="G110" s="142"/>
      <c r="H110" s="142"/>
      <c r="I110" s="142"/>
      <c r="J110" s="228"/>
    </row>
    <row r="111" spans="1:10" ht="10.050000000000001" customHeight="1" thickBot="1" x14ac:dyDescent="0.45">
      <c r="A111" s="187"/>
      <c r="B111" s="96"/>
      <c r="C111" s="96"/>
      <c r="D111" s="96"/>
      <c r="E111" s="96"/>
      <c r="F111" s="96"/>
      <c r="G111" s="96"/>
      <c r="H111" s="96"/>
      <c r="I111" s="96"/>
      <c r="J111" s="228"/>
    </row>
    <row r="112" spans="1:10" ht="14.4" customHeight="1" x14ac:dyDescent="0.3">
      <c r="A112" s="233"/>
      <c r="B112" s="143" t="s">
        <v>293</v>
      </c>
      <c r="C112" s="144"/>
      <c r="D112" s="55"/>
      <c r="E112" s="75"/>
      <c r="F112" s="219"/>
      <c r="G112" s="219"/>
      <c r="H112" s="219"/>
      <c r="I112" s="219"/>
      <c r="J112" s="228"/>
    </row>
    <row r="113" spans="1:10" ht="14.4" customHeight="1" x14ac:dyDescent="0.3">
      <c r="A113" s="233"/>
      <c r="B113" s="145"/>
      <c r="C113" s="146"/>
      <c r="D113" s="55"/>
      <c r="E113" s="75"/>
      <c r="F113" s="219"/>
      <c r="G113" s="219"/>
      <c r="H113" s="219"/>
      <c r="I113" s="219"/>
      <c r="J113" s="228"/>
    </row>
    <row r="114" spans="1:10" ht="14.4" customHeight="1" x14ac:dyDescent="0.3">
      <c r="A114" s="233"/>
      <c r="B114" s="145"/>
      <c r="C114" s="146"/>
      <c r="D114" s="76" t="b">
        <v>0</v>
      </c>
      <c r="E114" s="75"/>
      <c r="F114" s="219"/>
      <c r="G114" s="219"/>
      <c r="H114" s="219"/>
      <c r="I114" s="219"/>
      <c r="J114" s="228"/>
    </row>
    <row r="115" spans="1:10" ht="14.4" customHeight="1" x14ac:dyDescent="0.3">
      <c r="A115" s="233"/>
      <c r="B115" s="145"/>
      <c r="C115" s="146"/>
      <c r="D115" s="55"/>
      <c r="E115" s="75"/>
      <c r="F115" s="219"/>
      <c r="G115" s="219"/>
      <c r="H115" s="219"/>
      <c r="I115" s="219"/>
      <c r="J115" s="228"/>
    </row>
    <row r="116" spans="1:10" ht="14.4" customHeight="1" x14ac:dyDescent="0.3">
      <c r="A116" s="233"/>
      <c r="B116" s="145"/>
      <c r="C116" s="146"/>
      <c r="D116" s="55"/>
      <c r="E116" s="75"/>
      <c r="F116" s="219"/>
      <c r="G116" s="219"/>
      <c r="H116" s="219"/>
      <c r="I116" s="219"/>
      <c r="J116" s="228"/>
    </row>
    <row r="117" spans="1:10" ht="14.4" customHeight="1" thickBot="1" x14ac:dyDescent="0.35">
      <c r="A117" s="233"/>
      <c r="B117" s="147"/>
      <c r="C117" s="148"/>
      <c r="D117" s="55"/>
      <c r="E117" s="75"/>
      <c r="F117" s="219"/>
      <c r="G117" s="219"/>
      <c r="H117" s="219"/>
      <c r="I117" s="219"/>
      <c r="J117" s="228"/>
    </row>
    <row r="118" spans="1:10" ht="10.050000000000001" customHeight="1" x14ac:dyDescent="0.3">
      <c r="A118" s="233"/>
      <c r="B118" s="241"/>
      <c r="C118" s="241"/>
      <c r="D118" s="55"/>
      <c r="E118" s="75"/>
      <c r="F118" s="94"/>
      <c r="G118" s="95"/>
      <c r="H118" s="95"/>
      <c r="I118" s="95"/>
      <c r="J118" s="228"/>
    </row>
    <row r="119" spans="1:10" ht="21" customHeight="1" x14ac:dyDescent="0.4">
      <c r="A119" s="237" t="s">
        <v>294</v>
      </c>
      <c r="B119" s="142"/>
      <c r="C119" s="142"/>
      <c r="D119" s="142"/>
      <c r="E119" s="142"/>
      <c r="F119" s="142"/>
      <c r="G119" s="142"/>
      <c r="H119" s="142"/>
      <c r="I119" s="142"/>
      <c r="J119" s="228"/>
    </row>
    <row r="120" spans="1:10" ht="10.050000000000001" customHeight="1" thickBot="1" x14ac:dyDescent="0.45">
      <c r="A120" s="187"/>
      <c r="B120" s="96"/>
      <c r="C120" s="96"/>
      <c r="D120" s="96"/>
      <c r="E120" s="96"/>
      <c r="F120" s="96"/>
      <c r="G120" s="96"/>
      <c r="H120" s="96"/>
      <c r="I120" s="96"/>
      <c r="J120" s="228"/>
    </row>
    <row r="121" spans="1:10" ht="14.4" customHeight="1" thickBot="1" x14ac:dyDescent="0.35">
      <c r="A121" s="233"/>
      <c r="B121" s="143" t="s">
        <v>296</v>
      </c>
      <c r="C121" s="144"/>
      <c r="D121" s="55"/>
      <c r="E121" s="75"/>
      <c r="F121" s="94"/>
      <c r="G121" s="95"/>
      <c r="H121" s="220" t="s">
        <v>295</v>
      </c>
      <c r="I121" s="220"/>
      <c r="J121" s="228"/>
    </row>
    <row r="122" spans="1:10" ht="14.4" customHeight="1" thickBot="1" x14ac:dyDescent="0.35">
      <c r="A122" s="233"/>
      <c r="B122" s="145"/>
      <c r="C122" s="146"/>
      <c r="D122" s="76">
        <f>IF(E122="Male", 1, 2)</f>
        <v>2</v>
      </c>
      <c r="E122" s="149"/>
      <c r="F122" s="150"/>
      <c r="G122" s="95"/>
      <c r="H122" s="220"/>
      <c r="I122" s="220"/>
      <c r="J122" s="228"/>
    </row>
    <row r="123" spans="1:10" ht="14.4" customHeight="1" thickBot="1" x14ac:dyDescent="0.35">
      <c r="A123" s="233"/>
      <c r="B123" s="147"/>
      <c r="C123" s="148"/>
      <c r="D123" s="55"/>
      <c r="E123" s="75"/>
      <c r="F123" s="94"/>
      <c r="G123" s="95"/>
      <c r="H123" s="220"/>
      <c r="I123" s="220"/>
      <c r="J123" s="228"/>
    </row>
    <row r="124" spans="1:10" ht="10.050000000000001" customHeight="1" thickBot="1" x14ac:dyDescent="0.45">
      <c r="A124" s="242"/>
      <c r="B124" s="243"/>
      <c r="C124" s="243"/>
      <c r="D124" s="243"/>
      <c r="E124" s="243"/>
      <c r="F124" s="243"/>
      <c r="G124" s="243"/>
      <c r="H124" s="243"/>
      <c r="I124" s="243"/>
      <c r="J124" s="244"/>
    </row>
    <row r="125" spans="1:10" ht="10.050000000000001" customHeight="1" x14ac:dyDescent="0.4">
      <c r="A125" s="96"/>
      <c r="B125" s="96"/>
      <c r="C125" s="96"/>
      <c r="D125" s="96"/>
      <c r="E125" s="96"/>
      <c r="F125" s="96"/>
      <c r="G125" s="96"/>
      <c r="H125" s="96"/>
      <c r="I125" s="96"/>
      <c r="J125" s="254"/>
    </row>
    <row r="126" spans="1:10" ht="21" x14ac:dyDescent="0.4">
      <c r="A126" s="140" t="s">
        <v>301</v>
      </c>
      <c r="B126" s="140"/>
      <c r="C126" s="140"/>
      <c r="D126" s="140"/>
      <c r="E126" s="140"/>
      <c r="F126" s="140"/>
      <c r="G126" s="140"/>
      <c r="H126" s="140"/>
      <c r="I126" s="140"/>
      <c r="J126" s="44"/>
    </row>
    <row r="127" spans="1:10" ht="10.050000000000001" customHeight="1" thickBot="1" x14ac:dyDescent="0.45">
      <c r="A127" s="71"/>
      <c r="B127" s="71"/>
      <c r="C127" s="71"/>
      <c r="D127" s="71"/>
      <c r="E127" s="71"/>
      <c r="F127" s="71"/>
      <c r="G127" s="71"/>
      <c r="H127" s="71"/>
      <c r="I127" s="71"/>
      <c r="J127" s="44"/>
    </row>
    <row r="128" spans="1:10" ht="14.4" customHeight="1" x14ac:dyDescent="0.4">
      <c r="A128" s="245"/>
      <c r="B128" s="246"/>
      <c r="C128" s="246"/>
      <c r="D128" s="246"/>
      <c r="E128" s="246"/>
      <c r="F128" s="246"/>
      <c r="G128" s="246"/>
      <c r="H128" s="246"/>
      <c r="I128" s="246"/>
      <c r="J128" s="226"/>
    </row>
    <row r="129" spans="1:10" ht="54" customHeight="1" x14ac:dyDescent="0.3">
      <c r="A129" s="233"/>
      <c r="B129" s="137" t="s">
        <v>155</v>
      </c>
      <c r="C129" s="138"/>
      <c r="D129" s="138"/>
      <c r="E129" s="138"/>
      <c r="F129" s="138"/>
      <c r="G129" s="138"/>
      <c r="H129" s="138"/>
      <c r="I129" s="139"/>
      <c r="J129" s="228"/>
    </row>
    <row r="130" spans="1:10" x14ac:dyDescent="0.3">
      <c r="A130" s="233"/>
      <c r="B130" s="234"/>
      <c r="C130" s="55"/>
      <c r="D130" s="55"/>
      <c r="E130" s="55"/>
      <c r="F130" s="55"/>
      <c r="G130" s="55"/>
      <c r="H130" s="55"/>
      <c r="I130" s="55"/>
      <c r="J130" s="228"/>
    </row>
    <row r="131" spans="1:10" x14ac:dyDescent="0.3">
      <c r="A131" s="233"/>
      <c r="B131" s="135" t="s">
        <v>152</v>
      </c>
      <c r="C131" s="135"/>
      <c r="D131" s="135"/>
      <c r="E131" s="135"/>
      <c r="F131" s="135"/>
      <c r="G131" s="230"/>
      <c r="H131" s="136"/>
      <c r="I131" s="136"/>
      <c r="J131" s="228"/>
    </row>
    <row r="132" spans="1:10" s="22" customFormat="1" ht="14.4" customHeight="1" x14ac:dyDescent="0.3">
      <c r="A132" s="247">
        <v>1</v>
      </c>
      <c r="B132" s="130" t="s">
        <v>161</v>
      </c>
      <c r="C132" s="131"/>
      <c r="D132" s="131"/>
      <c r="E132" s="131"/>
      <c r="F132" s="132"/>
      <c r="G132" s="248" t="str">
        <f>VLOOKUP($B132, metrics, 2, 0)</f>
        <v>project</v>
      </c>
      <c r="H132" s="133" t="s">
        <v>196</v>
      </c>
      <c r="I132" s="134"/>
      <c r="J132" s="249"/>
    </row>
    <row r="133" spans="1:10" s="22" customFormat="1" ht="10.050000000000001" customHeight="1" x14ac:dyDescent="0.3">
      <c r="A133" s="247"/>
      <c r="B133" s="250"/>
      <c r="C133" s="68"/>
      <c r="D133" s="68"/>
      <c r="E133" s="68"/>
      <c r="F133" s="68"/>
      <c r="G133" s="68"/>
      <c r="H133" s="68"/>
      <c r="I133" s="68"/>
      <c r="J133" s="249"/>
    </row>
    <row r="134" spans="1:10" s="22" customFormat="1" ht="14.4" customHeight="1" x14ac:dyDescent="0.3">
      <c r="A134" s="247">
        <v>2</v>
      </c>
      <c r="B134" s="130" t="s">
        <v>168</v>
      </c>
      <c r="C134" s="131"/>
      <c r="D134" s="131"/>
      <c r="E134" s="131"/>
      <c r="F134" s="132"/>
      <c r="G134" s="248" t="str">
        <f>VLOOKUP($B134, metrics, 2, 0)</f>
        <v>interview_mode</v>
      </c>
      <c r="H134" s="133" t="s">
        <v>208</v>
      </c>
      <c r="I134" s="134"/>
      <c r="J134" s="249"/>
    </row>
    <row r="135" spans="1:10" s="22" customFormat="1" ht="10.050000000000001" customHeight="1" x14ac:dyDescent="0.3">
      <c r="A135" s="247"/>
      <c r="B135" s="250"/>
      <c r="C135" s="68"/>
      <c r="D135" s="68"/>
      <c r="E135" s="68"/>
      <c r="F135" s="68"/>
      <c r="G135" s="68"/>
      <c r="H135" s="68"/>
      <c r="I135" s="68"/>
      <c r="J135" s="249"/>
    </row>
    <row r="136" spans="1:10" s="22" customFormat="1" ht="14.4" customHeight="1" x14ac:dyDescent="0.3">
      <c r="A136" s="247">
        <v>3</v>
      </c>
      <c r="B136" s="130" t="s">
        <v>215</v>
      </c>
      <c r="C136" s="131"/>
      <c r="D136" s="131"/>
      <c r="E136" s="131"/>
      <c r="F136" s="132"/>
      <c r="G136" s="248" t="str">
        <f>VLOOKUP($B136, metrics, 2, 0)</f>
        <v>capi_software</v>
      </c>
      <c r="H136" s="133" t="s">
        <v>203</v>
      </c>
      <c r="I136" s="134"/>
      <c r="J136" s="249"/>
    </row>
    <row r="137" spans="1:10" s="22" customFormat="1" ht="10.050000000000001" customHeight="1" x14ac:dyDescent="0.3">
      <c r="A137" s="247"/>
      <c r="B137" s="250"/>
      <c r="C137" s="68"/>
      <c r="D137" s="68"/>
      <c r="E137" s="68"/>
      <c r="F137" s="68"/>
      <c r="G137" s="68"/>
      <c r="H137" s="68"/>
      <c r="I137" s="68"/>
      <c r="J137" s="249"/>
    </row>
    <row r="138" spans="1:10" s="22" customFormat="1" x14ac:dyDescent="0.3">
      <c r="A138" s="247">
        <v>4</v>
      </c>
      <c r="B138" s="130" t="s">
        <v>231</v>
      </c>
      <c r="C138" s="131"/>
      <c r="D138" s="131"/>
      <c r="E138" s="131"/>
      <c r="F138" s="132"/>
      <c r="G138" s="248" t="str">
        <f>VLOOKUP($B138, metrics, 2, 0)</f>
        <v>db_score_weighted</v>
      </c>
      <c r="H138" s="133"/>
      <c r="I138" s="134"/>
      <c r="J138" s="249"/>
    </row>
    <row r="139" spans="1:10" s="22" customFormat="1" ht="10.050000000000001" customHeight="1" x14ac:dyDescent="0.3">
      <c r="A139" s="247"/>
      <c r="B139" s="250"/>
      <c r="C139" s="68"/>
      <c r="D139" s="68"/>
      <c r="E139" s="68"/>
      <c r="F139" s="68"/>
      <c r="G139" s="68"/>
      <c r="H139" s="68"/>
      <c r="I139" s="68"/>
      <c r="J139" s="249"/>
    </row>
    <row r="140" spans="1:10" s="22" customFormat="1" x14ac:dyDescent="0.3">
      <c r="A140" s="247">
        <v>5</v>
      </c>
      <c r="B140" s="130"/>
      <c r="C140" s="131"/>
      <c r="D140" s="131"/>
      <c r="E140" s="131"/>
      <c r="F140" s="132"/>
      <c r="G140" s="248" t="e">
        <f>VLOOKUP($B140, metrics, 2, 0)</f>
        <v>#N/A</v>
      </c>
      <c r="H140" s="133"/>
      <c r="I140" s="134"/>
      <c r="J140" s="249"/>
    </row>
    <row r="141" spans="1:10" s="22" customFormat="1" ht="10.050000000000001" customHeight="1" x14ac:dyDescent="0.3">
      <c r="A141" s="247"/>
      <c r="B141" s="250"/>
      <c r="C141" s="68"/>
      <c r="D141" s="68"/>
      <c r="E141" s="68"/>
      <c r="F141" s="68"/>
      <c r="G141" s="68"/>
      <c r="H141" s="68"/>
      <c r="I141" s="68"/>
      <c r="J141" s="249"/>
    </row>
    <row r="142" spans="1:10" s="22" customFormat="1" x14ac:dyDescent="0.3">
      <c r="A142" s="247">
        <v>6</v>
      </c>
      <c r="B142" s="130"/>
      <c r="C142" s="131"/>
      <c r="D142" s="131"/>
      <c r="E142" s="131"/>
      <c r="F142" s="132"/>
      <c r="G142" s="248" t="e">
        <f>VLOOKUP($B142, metrics, 2, 0)</f>
        <v>#N/A</v>
      </c>
      <c r="H142" s="133"/>
      <c r="I142" s="134"/>
      <c r="J142" s="249"/>
    </row>
    <row r="143" spans="1:10" ht="10.050000000000001" customHeight="1" thickBot="1" x14ac:dyDescent="0.35">
      <c r="A143" s="251"/>
      <c r="B143" s="252"/>
      <c r="C143" s="253"/>
      <c r="D143" s="253"/>
      <c r="E143" s="253"/>
      <c r="F143" s="253"/>
      <c r="G143" s="253"/>
      <c r="H143" s="253"/>
      <c r="I143" s="253"/>
      <c r="J143" s="244"/>
    </row>
  </sheetData>
  <sortState ref="E87:E90">
    <sortCondition ref="E87:E90"/>
  </sortState>
  <mergeCells count="57">
    <mergeCell ref="A119:I119"/>
    <mergeCell ref="B121:C123"/>
    <mergeCell ref="E122:F122"/>
    <mergeCell ref="H121:I123"/>
    <mergeCell ref="A59:I59"/>
    <mergeCell ref="B62:C66"/>
    <mergeCell ref="B100:C102"/>
    <mergeCell ref="E101:F101"/>
    <mergeCell ref="A110:I110"/>
    <mergeCell ref="B112:C117"/>
    <mergeCell ref="F112:I117"/>
    <mergeCell ref="A92:I92"/>
    <mergeCell ref="B94:C96"/>
    <mergeCell ref="E95:F95"/>
    <mergeCell ref="A98:I98"/>
    <mergeCell ref="B87:C90"/>
    <mergeCell ref="E12:F12"/>
    <mergeCell ref="A2:I2"/>
    <mergeCell ref="B3:C3"/>
    <mergeCell ref="D3:F3"/>
    <mergeCell ref="A6:I6"/>
    <mergeCell ref="B7:I7"/>
    <mergeCell ref="H3:H5"/>
    <mergeCell ref="A39:I39"/>
    <mergeCell ref="B41:C48"/>
    <mergeCell ref="E16:F16"/>
    <mergeCell ref="E20:F20"/>
    <mergeCell ref="E24:F24"/>
    <mergeCell ref="A28:I28"/>
    <mergeCell ref="B30:E37"/>
    <mergeCell ref="A50:I50"/>
    <mergeCell ref="B106:C108"/>
    <mergeCell ref="E107:F107"/>
    <mergeCell ref="A104:I104"/>
    <mergeCell ref="B53:C57"/>
    <mergeCell ref="A68:I68"/>
    <mergeCell ref="B70:C77"/>
    <mergeCell ref="A85:I85"/>
    <mergeCell ref="A79:I79"/>
    <mergeCell ref="B81:C83"/>
    <mergeCell ref="E82:F82"/>
    <mergeCell ref="B129:I129"/>
    <mergeCell ref="A126:I126"/>
    <mergeCell ref="B131:F131"/>
    <mergeCell ref="H131:I131"/>
    <mergeCell ref="B132:F132"/>
    <mergeCell ref="H132:I132"/>
    <mergeCell ref="B134:F134"/>
    <mergeCell ref="H134:I134"/>
    <mergeCell ref="B142:F142"/>
    <mergeCell ref="H142:I142"/>
    <mergeCell ref="B136:F136"/>
    <mergeCell ref="H136:I136"/>
    <mergeCell ref="B138:F138"/>
    <mergeCell ref="H138:I138"/>
    <mergeCell ref="B140:F140"/>
    <mergeCell ref="H140:I140"/>
  </mergeCells>
  <conditionalFormatting sqref="F30:F37">
    <cfRule type="expression" dxfId="15" priority="25">
      <formula>$G30=TRUE</formula>
    </cfRule>
  </conditionalFormatting>
  <conditionalFormatting sqref="I30:I37">
    <cfRule type="expression" dxfId="14" priority="18">
      <formula>$J30</formula>
    </cfRule>
  </conditionalFormatting>
  <conditionalFormatting sqref="E41:F48">
    <cfRule type="expression" dxfId="13" priority="17">
      <formula>$D41=TRUE</formula>
    </cfRule>
  </conditionalFormatting>
  <conditionalFormatting sqref="H41:I48">
    <cfRule type="expression" dxfId="12" priority="16">
      <formula>$G41=TRUE</formula>
    </cfRule>
  </conditionalFormatting>
  <conditionalFormatting sqref="F71:I78 F108:I109 G107:I107 F105:I106 F84:I84 F86:I91 F118:I118 F112">
    <cfRule type="expression" dxfId="11" priority="30">
      <formula>$A$50 = TRUE</formula>
    </cfRule>
  </conditionalFormatting>
  <conditionalFormatting sqref="E70:F78 E84:F84 E86:F91">
    <cfRule type="expression" dxfId="10" priority="14">
      <formula>$D70=TRUE</formula>
    </cfRule>
  </conditionalFormatting>
  <conditionalFormatting sqref="F83:I83 G82:I82 F80:I81">
    <cfRule type="expression" dxfId="9" priority="13">
      <formula>$A$50 = TRUE</formula>
    </cfRule>
  </conditionalFormatting>
  <conditionalFormatting sqref="F97:I97">
    <cfRule type="expression" dxfId="8" priority="9">
      <formula>$A$50 = TRUE</formula>
    </cfRule>
  </conditionalFormatting>
  <conditionalFormatting sqref="E97:F97">
    <cfRule type="expression" dxfId="7" priority="8">
      <formula>$D97=TRUE</formula>
    </cfRule>
  </conditionalFormatting>
  <conditionalFormatting sqref="F96:I96 G95:I95 F93:I94">
    <cfRule type="expression" dxfId="6" priority="7">
      <formula>$A$50 = TRUE</formula>
    </cfRule>
  </conditionalFormatting>
  <conditionalFormatting sqref="F102:I102 G101:I101 F99:I100">
    <cfRule type="expression" dxfId="5" priority="4">
      <formula>$A$50 = TRUE</formula>
    </cfRule>
  </conditionalFormatting>
  <conditionalFormatting sqref="F103:I103">
    <cfRule type="expression" dxfId="4" priority="6">
      <formula>$A$50 = TRUE</formula>
    </cfRule>
  </conditionalFormatting>
  <conditionalFormatting sqref="E103:F103">
    <cfRule type="expression" dxfId="3" priority="5">
      <formula>$D103=TRUE</formula>
    </cfRule>
  </conditionalFormatting>
  <conditionalFormatting sqref="F112:I117">
    <cfRule type="expression" dxfId="2" priority="3">
      <formula>$D$114=TRUE</formula>
    </cfRule>
  </conditionalFormatting>
  <conditionalFormatting sqref="F123:G123 G122 F121:H121">
    <cfRule type="expression" dxfId="1" priority="2">
      <formula>$A$50 = TRUE</formula>
    </cfRule>
  </conditionalFormatting>
  <conditionalFormatting sqref="H121:I123">
    <cfRule type="expression" dxfId="0" priority="1">
      <formula>OR($E$122="Male", $E$122="Female")</formula>
    </cfRule>
  </conditionalFormatting>
  <dataValidations count="10">
    <dataValidation type="list" allowBlank="1" showInputMessage="1" showErrorMessage="1" sqref="B132:F132 B134:F134 B136:F136 B140:F140 B138:F138 B142:F142" xr:uid="{F8F3C679-5A68-499B-B2DF-2B1FDB6D1D9E}">
      <formula1>preferred_criteria</formula1>
    </dataValidation>
    <dataValidation type="list" allowBlank="1" showInputMessage="1" showErrorMessage="1" sqref="H132:I132 H134:I134 H136:I136 H138:I138 H140:I140 H142:I142" xr:uid="{525F5DE6-1778-4BA7-BBC2-ED2C2ABE2348}">
      <formula1>INDIRECT($G132)</formula1>
    </dataValidation>
    <dataValidation type="date" allowBlank="1" showInputMessage="1" showErrorMessage="1" sqref="I4" xr:uid="{732CE204-2350-463D-A091-B1F6D08BE043}">
      <formula1>TODAY()</formula1>
      <formula2>TODAY() + 90</formula2>
    </dataValidation>
    <dataValidation type="list" allowBlank="1" showInputMessage="1" showErrorMessage="1" sqref="E107:F107" xr:uid="{772BD76F-D09C-4150-82D5-A4C9273F8971}">
      <formula1>education</formula1>
    </dataValidation>
    <dataValidation type="list" allowBlank="1" showInputMessage="1" showErrorMessage="1" sqref="E53:E57 H53:H57 E62:E66 H62:H66" xr:uid="{4F04BFCC-0F50-450F-8964-320B0790CB44}">
      <formula1>projects</formula1>
    </dataValidation>
    <dataValidation type="list" allowBlank="1" showInputMessage="1" showErrorMessage="1" sqref="F53:F57 I53:I57 F62:F66 I62:I66" xr:uid="{9A0EDE9D-3384-4E6C-AFF9-D6AFBD922C4E}">
      <formula1>project_phase</formula1>
    </dataValidation>
    <dataValidation type="list" allowBlank="1" showInputMessage="1" showErrorMessage="1" sqref="E82:F82" xr:uid="{67FA0FA1-C419-42DA-90D8-F346F3CBB01A}">
      <formula1>paper_or_capi_full</formula1>
    </dataValidation>
    <dataValidation type="list" allowBlank="1" showInputMessage="1" showErrorMessage="1" sqref="E95:F95" xr:uid="{B49C2CA9-0B69-49EE-BB7E-024947889538}">
      <formula1>interview_mode_full</formula1>
    </dataValidation>
    <dataValidation type="list" allowBlank="1" showInputMessage="1" showErrorMessage="1" sqref="E101:F101" xr:uid="{82A15CA3-B919-4DB6-A1CA-D645F5A68FD4}">
      <formula1>quantitative_or_qualitative_full</formula1>
    </dataValidation>
    <dataValidation type="list" allowBlank="1" showInputMessage="1" showErrorMessage="1" sqref="E122:F122" xr:uid="{4A96C2C0-FAD9-4BFD-858B-BAF01BC5B070}">
      <formula1>gender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5" r:id="rId4" name="Check Box 37">
              <controlPr defaultSize="0" autoFill="0" autoLine="0" autoPict="0">
                <anchor moveWithCells="1">
                  <from>
                    <xdr:col>8</xdr:col>
                    <xdr:colOff>22860</xdr:colOff>
                    <xdr:row>28</xdr:row>
                    <xdr:rowOff>114300</xdr:rowOff>
                  </from>
                  <to>
                    <xdr:col>8</xdr:col>
                    <xdr:colOff>266700</xdr:colOff>
                    <xdr:row>30</xdr:row>
                    <xdr:rowOff>30480</xdr:rowOff>
                  </to>
                </anchor>
              </controlPr>
            </control>
          </mc:Choice>
        </mc:AlternateContent>
        <mc:AlternateContent xmlns:mc="http://schemas.openxmlformats.org/markup-compatibility/2006">
          <mc:Choice Requires="x14">
            <control shapeId="2086" r:id="rId5" name="Check Box 38">
              <controlPr defaultSize="0" autoFill="0" autoLine="0" autoPict="0">
                <anchor moveWithCells="1">
                  <from>
                    <xdr:col>8</xdr:col>
                    <xdr:colOff>22860</xdr:colOff>
                    <xdr:row>29</xdr:row>
                    <xdr:rowOff>175260</xdr:rowOff>
                  </from>
                  <to>
                    <xdr:col>8</xdr:col>
                    <xdr:colOff>266700</xdr:colOff>
                    <xdr:row>31</xdr:row>
                    <xdr:rowOff>30480</xdr:rowOff>
                  </to>
                </anchor>
              </controlPr>
            </control>
          </mc:Choice>
        </mc:AlternateContent>
        <mc:AlternateContent xmlns:mc="http://schemas.openxmlformats.org/markup-compatibility/2006">
          <mc:Choice Requires="x14">
            <control shapeId="2137" r:id="rId6" name="Check Box 89">
              <controlPr defaultSize="0" autoFill="0" autoLine="0" autoPict="0">
                <anchor moveWithCells="1">
                  <from>
                    <xdr:col>4</xdr:col>
                    <xdr:colOff>22860</xdr:colOff>
                    <xdr:row>39</xdr:row>
                    <xdr:rowOff>106680</xdr:rowOff>
                  </from>
                  <to>
                    <xdr:col>4</xdr:col>
                    <xdr:colOff>266700</xdr:colOff>
                    <xdr:row>41</xdr:row>
                    <xdr:rowOff>22860</xdr:rowOff>
                  </to>
                </anchor>
              </controlPr>
            </control>
          </mc:Choice>
        </mc:AlternateContent>
        <mc:AlternateContent xmlns:mc="http://schemas.openxmlformats.org/markup-compatibility/2006">
          <mc:Choice Requires="x14">
            <control shapeId="2185" r:id="rId7" name="Check Box 137">
              <controlPr defaultSize="0" autoFill="0" autoLine="0" autoPict="0">
                <anchor moveWithCells="1">
                  <from>
                    <xdr:col>4</xdr:col>
                    <xdr:colOff>15240</xdr:colOff>
                    <xdr:row>41</xdr:row>
                    <xdr:rowOff>160020</xdr:rowOff>
                  </from>
                  <to>
                    <xdr:col>4</xdr:col>
                    <xdr:colOff>259080</xdr:colOff>
                    <xdr:row>43</xdr:row>
                    <xdr:rowOff>22860</xdr:rowOff>
                  </to>
                </anchor>
              </controlPr>
            </control>
          </mc:Choice>
        </mc:AlternateContent>
        <mc:AlternateContent xmlns:mc="http://schemas.openxmlformats.org/markup-compatibility/2006">
          <mc:Choice Requires="x14">
            <control shapeId="2186" r:id="rId8" name="Check Box 138">
              <controlPr defaultSize="0" autoFill="0" autoLine="0" autoPict="0">
                <anchor moveWithCells="1">
                  <from>
                    <xdr:col>4</xdr:col>
                    <xdr:colOff>15240</xdr:colOff>
                    <xdr:row>40</xdr:row>
                    <xdr:rowOff>152400</xdr:rowOff>
                  </from>
                  <to>
                    <xdr:col>4</xdr:col>
                    <xdr:colOff>259080</xdr:colOff>
                    <xdr:row>42</xdr:row>
                    <xdr:rowOff>15240</xdr:rowOff>
                  </to>
                </anchor>
              </controlPr>
            </control>
          </mc:Choice>
        </mc:AlternateContent>
        <mc:AlternateContent xmlns:mc="http://schemas.openxmlformats.org/markup-compatibility/2006">
          <mc:Choice Requires="x14">
            <control shapeId="2187" r:id="rId9" name="Check Box 139">
              <controlPr defaultSize="0" autoFill="0" autoLine="0" autoPict="0">
                <anchor moveWithCells="1">
                  <from>
                    <xdr:col>4</xdr:col>
                    <xdr:colOff>15240</xdr:colOff>
                    <xdr:row>42</xdr:row>
                    <xdr:rowOff>167640</xdr:rowOff>
                  </from>
                  <to>
                    <xdr:col>4</xdr:col>
                    <xdr:colOff>259080</xdr:colOff>
                    <xdr:row>44</xdr:row>
                    <xdr:rowOff>22860</xdr:rowOff>
                  </to>
                </anchor>
              </controlPr>
            </control>
          </mc:Choice>
        </mc:AlternateContent>
        <mc:AlternateContent xmlns:mc="http://schemas.openxmlformats.org/markup-compatibility/2006">
          <mc:Choice Requires="x14">
            <control shapeId="2188" r:id="rId10" name="Check Box 140">
              <controlPr defaultSize="0" autoFill="0" autoLine="0" autoPict="0">
                <anchor moveWithCells="1">
                  <from>
                    <xdr:col>4</xdr:col>
                    <xdr:colOff>15240</xdr:colOff>
                    <xdr:row>43</xdr:row>
                    <xdr:rowOff>152400</xdr:rowOff>
                  </from>
                  <to>
                    <xdr:col>4</xdr:col>
                    <xdr:colOff>259080</xdr:colOff>
                    <xdr:row>45</xdr:row>
                    <xdr:rowOff>7620</xdr:rowOff>
                  </to>
                </anchor>
              </controlPr>
            </control>
          </mc:Choice>
        </mc:AlternateContent>
        <mc:AlternateContent xmlns:mc="http://schemas.openxmlformats.org/markup-compatibility/2006">
          <mc:Choice Requires="x14">
            <control shapeId="2189" r:id="rId11" name="Check Box 141">
              <controlPr defaultSize="0" autoFill="0" autoLine="0" autoPict="0">
                <anchor moveWithCells="1">
                  <from>
                    <xdr:col>4</xdr:col>
                    <xdr:colOff>7620</xdr:colOff>
                    <xdr:row>44</xdr:row>
                    <xdr:rowOff>152400</xdr:rowOff>
                  </from>
                  <to>
                    <xdr:col>4</xdr:col>
                    <xdr:colOff>251460</xdr:colOff>
                    <xdr:row>46</xdr:row>
                    <xdr:rowOff>0</xdr:rowOff>
                  </to>
                </anchor>
              </controlPr>
            </control>
          </mc:Choice>
        </mc:AlternateContent>
        <mc:AlternateContent xmlns:mc="http://schemas.openxmlformats.org/markup-compatibility/2006">
          <mc:Choice Requires="x14">
            <control shapeId="2190" r:id="rId12" name="Check Box 142">
              <controlPr defaultSize="0" autoFill="0" autoLine="0" autoPict="0">
                <anchor moveWithCells="1">
                  <from>
                    <xdr:col>4</xdr:col>
                    <xdr:colOff>7620</xdr:colOff>
                    <xdr:row>45</xdr:row>
                    <xdr:rowOff>160020</xdr:rowOff>
                  </from>
                  <to>
                    <xdr:col>4</xdr:col>
                    <xdr:colOff>251460</xdr:colOff>
                    <xdr:row>47</xdr:row>
                    <xdr:rowOff>15240</xdr:rowOff>
                  </to>
                </anchor>
              </controlPr>
            </control>
          </mc:Choice>
        </mc:AlternateContent>
        <mc:AlternateContent xmlns:mc="http://schemas.openxmlformats.org/markup-compatibility/2006">
          <mc:Choice Requires="x14">
            <control shapeId="2191" r:id="rId13" name="Check Box 143">
              <controlPr defaultSize="0" autoFill="0" autoLine="0" autoPict="0">
                <anchor moveWithCells="1">
                  <from>
                    <xdr:col>4</xdr:col>
                    <xdr:colOff>7620</xdr:colOff>
                    <xdr:row>46</xdr:row>
                    <xdr:rowOff>160020</xdr:rowOff>
                  </from>
                  <to>
                    <xdr:col>4</xdr:col>
                    <xdr:colOff>251460</xdr:colOff>
                    <xdr:row>48</xdr:row>
                    <xdr:rowOff>7620</xdr:rowOff>
                  </to>
                </anchor>
              </controlPr>
            </control>
          </mc:Choice>
        </mc:AlternateContent>
        <mc:AlternateContent xmlns:mc="http://schemas.openxmlformats.org/markup-compatibility/2006">
          <mc:Choice Requires="x14">
            <control shapeId="2192" r:id="rId14" name="Check Box 144">
              <controlPr defaultSize="0" autoFill="0" autoLine="0" autoPict="0">
                <anchor moveWithCells="1">
                  <from>
                    <xdr:col>7</xdr:col>
                    <xdr:colOff>30480</xdr:colOff>
                    <xdr:row>39</xdr:row>
                    <xdr:rowOff>99060</xdr:rowOff>
                  </from>
                  <to>
                    <xdr:col>7</xdr:col>
                    <xdr:colOff>274320</xdr:colOff>
                    <xdr:row>41</xdr:row>
                    <xdr:rowOff>15240</xdr:rowOff>
                  </to>
                </anchor>
              </controlPr>
            </control>
          </mc:Choice>
        </mc:AlternateContent>
        <mc:AlternateContent xmlns:mc="http://schemas.openxmlformats.org/markup-compatibility/2006">
          <mc:Choice Requires="x14">
            <control shapeId="2193" r:id="rId15" name="Check Box 145">
              <controlPr defaultSize="0" autoFill="0" autoLine="0" autoPict="0">
                <anchor moveWithCells="1">
                  <from>
                    <xdr:col>7</xdr:col>
                    <xdr:colOff>38100</xdr:colOff>
                    <xdr:row>40</xdr:row>
                    <xdr:rowOff>152400</xdr:rowOff>
                  </from>
                  <to>
                    <xdr:col>7</xdr:col>
                    <xdr:colOff>281940</xdr:colOff>
                    <xdr:row>42</xdr:row>
                    <xdr:rowOff>7620</xdr:rowOff>
                  </to>
                </anchor>
              </controlPr>
            </control>
          </mc:Choice>
        </mc:AlternateContent>
        <mc:AlternateContent xmlns:mc="http://schemas.openxmlformats.org/markup-compatibility/2006">
          <mc:Choice Requires="x14">
            <control shapeId="2194" r:id="rId16" name="Check Box 146">
              <controlPr defaultSize="0" autoFill="0" autoLine="0" autoPict="0">
                <anchor moveWithCells="1">
                  <from>
                    <xdr:col>7</xdr:col>
                    <xdr:colOff>38100</xdr:colOff>
                    <xdr:row>41</xdr:row>
                    <xdr:rowOff>152400</xdr:rowOff>
                  </from>
                  <to>
                    <xdr:col>7</xdr:col>
                    <xdr:colOff>281940</xdr:colOff>
                    <xdr:row>43</xdr:row>
                    <xdr:rowOff>15240</xdr:rowOff>
                  </to>
                </anchor>
              </controlPr>
            </control>
          </mc:Choice>
        </mc:AlternateContent>
        <mc:AlternateContent xmlns:mc="http://schemas.openxmlformats.org/markup-compatibility/2006">
          <mc:Choice Requires="x14">
            <control shapeId="2195" r:id="rId17" name="Check Box 147">
              <controlPr defaultSize="0" autoFill="0" autoLine="0" autoPict="0">
                <anchor moveWithCells="1">
                  <from>
                    <xdr:col>7</xdr:col>
                    <xdr:colOff>38100</xdr:colOff>
                    <xdr:row>42</xdr:row>
                    <xdr:rowOff>152400</xdr:rowOff>
                  </from>
                  <to>
                    <xdr:col>7</xdr:col>
                    <xdr:colOff>281940</xdr:colOff>
                    <xdr:row>44</xdr:row>
                    <xdr:rowOff>15240</xdr:rowOff>
                  </to>
                </anchor>
              </controlPr>
            </control>
          </mc:Choice>
        </mc:AlternateContent>
        <mc:AlternateContent xmlns:mc="http://schemas.openxmlformats.org/markup-compatibility/2006">
          <mc:Choice Requires="x14">
            <control shapeId="2196" r:id="rId18" name="Check Box 148">
              <controlPr defaultSize="0" autoFill="0" autoLine="0" autoPict="0">
                <anchor moveWithCells="1">
                  <from>
                    <xdr:col>7</xdr:col>
                    <xdr:colOff>38100</xdr:colOff>
                    <xdr:row>43</xdr:row>
                    <xdr:rowOff>152400</xdr:rowOff>
                  </from>
                  <to>
                    <xdr:col>7</xdr:col>
                    <xdr:colOff>281940</xdr:colOff>
                    <xdr:row>45</xdr:row>
                    <xdr:rowOff>7620</xdr:rowOff>
                  </to>
                </anchor>
              </controlPr>
            </control>
          </mc:Choice>
        </mc:AlternateContent>
        <mc:AlternateContent xmlns:mc="http://schemas.openxmlformats.org/markup-compatibility/2006">
          <mc:Choice Requires="x14">
            <control shapeId="2197" r:id="rId19" name="Check Box 149">
              <controlPr defaultSize="0" autoFill="0" autoLine="0" autoPict="0">
                <anchor moveWithCells="1">
                  <from>
                    <xdr:col>7</xdr:col>
                    <xdr:colOff>38100</xdr:colOff>
                    <xdr:row>44</xdr:row>
                    <xdr:rowOff>152400</xdr:rowOff>
                  </from>
                  <to>
                    <xdr:col>7</xdr:col>
                    <xdr:colOff>281940</xdr:colOff>
                    <xdr:row>46</xdr:row>
                    <xdr:rowOff>0</xdr:rowOff>
                  </to>
                </anchor>
              </controlPr>
            </control>
          </mc:Choice>
        </mc:AlternateContent>
        <mc:AlternateContent xmlns:mc="http://schemas.openxmlformats.org/markup-compatibility/2006">
          <mc:Choice Requires="x14">
            <control shapeId="2202" r:id="rId20" name="Check Box 154">
              <controlPr defaultSize="0" autoFill="0" autoLine="0" autoPict="0">
                <anchor moveWithCells="1">
                  <from>
                    <xdr:col>4</xdr:col>
                    <xdr:colOff>15240</xdr:colOff>
                    <xdr:row>68</xdr:row>
                    <xdr:rowOff>99060</xdr:rowOff>
                  </from>
                  <to>
                    <xdr:col>4</xdr:col>
                    <xdr:colOff>259080</xdr:colOff>
                    <xdr:row>70</xdr:row>
                    <xdr:rowOff>15240</xdr:rowOff>
                  </to>
                </anchor>
              </controlPr>
            </control>
          </mc:Choice>
        </mc:AlternateContent>
        <mc:AlternateContent xmlns:mc="http://schemas.openxmlformats.org/markup-compatibility/2006">
          <mc:Choice Requires="x14">
            <control shapeId="2203" r:id="rId21" name="Check Box 155">
              <controlPr defaultSize="0" autoFill="0" autoLine="0" autoPict="0">
                <anchor moveWithCells="1">
                  <from>
                    <xdr:col>4</xdr:col>
                    <xdr:colOff>15240</xdr:colOff>
                    <xdr:row>69</xdr:row>
                    <xdr:rowOff>167640</xdr:rowOff>
                  </from>
                  <to>
                    <xdr:col>4</xdr:col>
                    <xdr:colOff>259080</xdr:colOff>
                    <xdr:row>71</xdr:row>
                    <xdr:rowOff>22860</xdr:rowOff>
                  </to>
                </anchor>
              </controlPr>
            </control>
          </mc:Choice>
        </mc:AlternateContent>
        <mc:AlternateContent xmlns:mc="http://schemas.openxmlformats.org/markup-compatibility/2006">
          <mc:Choice Requires="x14">
            <control shapeId="2204" r:id="rId22" name="Check Box 156">
              <controlPr defaultSize="0" autoFill="0" autoLine="0" autoPict="0">
                <anchor moveWithCells="1">
                  <from>
                    <xdr:col>4</xdr:col>
                    <xdr:colOff>15240</xdr:colOff>
                    <xdr:row>70</xdr:row>
                    <xdr:rowOff>167640</xdr:rowOff>
                  </from>
                  <to>
                    <xdr:col>4</xdr:col>
                    <xdr:colOff>259080</xdr:colOff>
                    <xdr:row>72</xdr:row>
                    <xdr:rowOff>22860</xdr:rowOff>
                  </to>
                </anchor>
              </controlPr>
            </control>
          </mc:Choice>
        </mc:AlternateContent>
        <mc:AlternateContent xmlns:mc="http://schemas.openxmlformats.org/markup-compatibility/2006">
          <mc:Choice Requires="x14">
            <control shapeId="2205" r:id="rId23" name="Check Box 157">
              <controlPr defaultSize="0" autoFill="0" autoLine="0" autoPict="0">
                <anchor moveWithCells="1">
                  <from>
                    <xdr:col>4</xdr:col>
                    <xdr:colOff>15240</xdr:colOff>
                    <xdr:row>71</xdr:row>
                    <xdr:rowOff>160020</xdr:rowOff>
                  </from>
                  <to>
                    <xdr:col>4</xdr:col>
                    <xdr:colOff>259080</xdr:colOff>
                    <xdr:row>73</xdr:row>
                    <xdr:rowOff>15240</xdr:rowOff>
                  </to>
                </anchor>
              </controlPr>
            </control>
          </mc:Choice>
        </mc:AlternateContent>
        <mc:AlternateContent xmlns:mc="http://schemas.openxmlformats.org/markup-compatibility/2006">
          <mc:Choice Requires="x14">
            <control shapeId="2206" r:id="rId24" name="Check Box 158">
              <controlPr defaultSize="0" autoFill="0" autoLine="0" autoPict="0">
                <anchor moveWithCells="1">
                  <from>
                    <xdr:col>4</xdr:col>
                    <xdr:colOff>15240</xdr:colOff>
                    <xdr:row>72</xdr:row>
                    <xdr:rowOff>152400</xdr:rowOff>
                  </from>
                  <to>
                    <xdr:col>4</xdr:col>
                    <xdr:colOff>259080</xdr:colOff>
                    <xdr:row>74</xdr:row>
                    <xdr:rowOff>7620</xdr:rowOff>
                  </to>
                </anchor>
              </controlPr>
            </control>
          </mc:Choice>
        </mc:AlternateContent>
        <mc:AlternateContent xmlns:mc="http://schemas.openxmlformats.org/markup-compatibility/2006">
          <mc:Choice Requires="x14">
            <control shapeId="2207" r:id="rId25" name="Check Box 159">
              <controlPr defaultSize="0" autoFill="0" autoLine="0" autoPict="0">
                <anchor moveWithCells="1">
                  <from>
                    <xdr:col>4</xdr:col>
                    <xdr:colOff>7620</xdr:colOff>
                    <xdr:row>73</xdr:row>
                    <xdr:rowOff>160020</xdr:rowOff>
                  </from>
                  <to>
                    <xdr:col>4</xdr:col>
                    <xdr:colOff>251460</xdr:colOff>
                    <xdr:row>75</xdr:row>
                    <xdr:rowOff>15240</xdr:rowOff>
                  </to>
                </anchor>
              </controlPr>
            </control>
          </mc:Choice>
        </mc:AlternateContent>
        <mc:AlternateContent xmlns:mc="http://schemas.openxmlformats.org/markup-compatibility/2006">
          <mc:Choice Requires="x14">
            <control shapeId="2208" r:id="rId26" name="Check Box 160">
              <controlPr defaultSize="0" autoFill="0" autoLine="0" autoPict="0">
                <anchor moveWithCells="1">
                  <from>
                    <xdr:col>4</xdr:col>
                    <xdr:colOff>7620</xdr:colOff>
                    <xdr:row>74</xdr:row>
                    <xdr:rowOff>152400</xdr:rowOff>
                  </from>
                  <to>
                    <xdr:col>4</xdr:col>
                    <xdr:colOff>251460</xdr:colOff>
                    <xdr:row>76</xdr:row>
                    <xdr:rowOff>7620</xdr:rowOff>
                  </to>
                </anchor>
              </controlPr>
            </control>
          </mc:Choice>
        </mc:AlternateContent>
        <mc:AlternateContent xmlns:mc="http://schemas.openxmlformats.org/markup-compatibility/2006">
          <mc:Choice Requires="x14">
            <control shapeId="2209" r:id="rId27" name="Check Box 161">
              <controlPr defaultSize="0" autoFill="0" autoLine="0" autoPict="0">
                <anchor moveWithCells="1">
                  <from>
                    <xdr:col>4</xdr:col>
                    <xdr:colOff>7620</xdr:colOff>
                    <xdr:row>75</xdr:row>
                    <xdr:rowOff>160020</xdr:rowOff>
                  </from>
                  <to>
                    <xdr:col>4</xdr:col>
                    <xdr:colOff>251460</xdr:colOff>
                    <xdr:row>77</xdr:row>
                    <xdr:rowOff>15240</xdr:rowOff>
                  </to>
                </anchor>
              </controlPr>
            </control>
          </mc:Choice>
        </mc:AlternateContent>
        <mc:AlternateContent xmlns:mc="http://schemas.openxmlformats.org/markup-compatibility/2006">
          <mc:Choice Requires="x14">
            <control shapeId="2215" r:id="rId28" name="Check Box 167">
              <controlPr defaultSize="0" autoFill="0" autoLine="0" autoPict="0">
                <anchor moveWithCells="1">
                  <from>
                    <xdr:col>4</xdr:col>
                    <xdr:colOff>30480</xdr:colOff>
                    <xdr:row>85</xdr:row>
                    <xdr:rowOff>106680</xdr:rowOff>
                  </from>
                  <to>
                    <xdr:col>4</xdr:col>
                    <xdr:colOff>274320</xdr:colOff>
                    <xdr:row>87</xdr:row>
                    <xdr:rowOff>22860</xdr:rowOff>
                  </to>
                </anchor>
              </controlPr>
            </control>
          </mc:Choice>
        </mc:AlternateContent>
        <mc:AlternateContent xmlns:mc="http://schemas.openxmlformats.org/markup-compatibility/2006">
          <mc:Choice Requires="x14">
            <control shapeId="2216" r:id="rId29" name="Check Box 168">
              <controlPr defaultSize="0" autoFill="0" autoLine="0" autoPict="0">
                <anchor moveWithCells="1">
                  <from>
                    <xdr:col>4</xdr:col>
                    <xdr:colOff>30480</xdr:colOff>
                    <xdr:row>86</xdr:row>
                    <xdr:rowOff>160020</xdr:rowOff>
                  </from>
                  <to>
                    <xdr:col>4</xdr:col>
                    <xdr:colOff>274320</xdr:colOff>
                    <xdr:row>88</xdr:row>
                    <xdr:rowOff>15240</xdr:rowOff>
                  </to>
                </anchor>
              </controlPr>
            </control>
          </mc:Choice>
        </mc:AlternateContent>
        <mc:AlternateContent xmlns:mc="http://schemas.openxmlformats.org/markup-compatibility/2006">
          <mc:Choice Requires="x14">
            <control shapeId="2217" r:id="rId30" name="Check Box 169">
              <controlPr defaultSize="0" autoFill="0" autoLine="0" autoPict="0">
                <anchor moveWithCells="1">
                  <from>
                    <xdr:col>4</xdr:col>
                    <xdr:colOff>30480</xdr:colOff>
                    <xdr:row>87</xdr:row>
                    <xdr:rowOff>167640</xdr:rowOff>
                  </from>
                  <to>
                    <xdr:col>4</xdr:col>
                    <xdr:colOff>274320</xdr:colOff>
                    <xdr:row>89</xdr:row>
                    <xdr:rowOff>22860</xdr:rowOff>
                  </to>
                </anchor>
              </controlPr>
            </control>
          </mc:Choice>
        </mc:AlternateContent>
        <mc:AlternateContent xmlns:mc="http://schemas.openxmlformats.org/markup-compatibility/2006">
          <mc:Choice Requires="x14">
            <control shapeId="2218" r:id="rId31" name="Check Box 170">
              <controlPr defaultSize="0" autoFill="0" autoLine="0" autoPict="0">
                <anchor moveWithCells="1">
                  <from>
                    <xdr:col>4</xdr:col>
                    <xdr:colOff>30480</xdr:colOff>
                    <xdr:row>88</xdr:row>
                    <xdr:rowOff>167640</xdr:rowOff>
                  </from>
                  <to>
                    <xdr:col>4</xdr:col>
                    <xdr:colOff>274320</xdr:colOff>
                    <xdr:row>90</xdr:row>
                    <xdr:rowOff>22860</xdr:rowOff>
                  </to>
                </anchor>
              </controlPr>
            </control>
          </mc:Choice>
        </mc:AlternateContent>
        <mc:AlternateContent xmlns:mc="http://schemas.openxmlformats.org/markup-compatibility/2006">
          <mc:Choice Requires="x14">
            <control shapeId="2231" r:id="rId32" name="Check Box 183">
              <controlPr defaultSize="0" autoFill="0" autoLine="0" autoPict="0">
                <anchor moveWithCells="1">
                  <from>
                    <xdr:col>4</xdr:col>
                    <xdr:colOff>167640</xdr:colOff>
                    <xdr:row>113</xdr:row>
                    <xdr:rowOff>7620</xdr:rowOff>
                  </from>
                  <to>
                    <xdr:col>4</xdr:col>
                    <xdr:colOff>411480</xdr:colOff>
                    <xdr:row>114</xdr:row>
                    <xdr:rowOff>45720</xdr:rowOff>
                  </to>
                </anchor>
              </controlPr>
            </control>
          </mc:Choice>
        </mc:AlternateContent>
        <mc:AlternateContent xmlns:mc="http://schemas.openxmlformats.org/markup-compatibility/2006">
          <mc:Choice Requires="x14">
            <control shapeId="2244" r:id="rId33" name="Check Box 196">
              <controlPr defaultSize="0" autoFill="0" autoLine="0" autoPict="0">
                <anchor moveWithCells="1">
                  <from>
                    <xdr:col>4</xdr:col>
                    <xdr:colOff>868680</xdr:colOff>
                    <xdr:row>28</xdr:row>
                    <xdr:rowOff>99060</xdr:rowOff>
                  </from>
                  <to>
                    <xdr:col>5</xdr:col>
                    <xdr:colOff>236220</xdr:colOff>
                    <xdr:row>30</xdr:row>
                    <xdr:rowOff>15240</xdr:rowOff>
                  </to>
                </anchor>
              </controlPr>
            </control>
          </mc:Choice>
        </mc:AlternateContent>
        <mc:AlternateContent xmlns:mc="http://schemas.openxmlformats.org/markup-compatibility/2006">
          <mc:Choice Requires="x14">
            <control shapeId="2245" r:id="rId34" name="Check Box 197">
              <controlPr defaultSize="0" autoFill="0" autoLine="0" autoPict="0">
                <anchor moveWithCells="1">
                  <from>
                    <xdr:col>5</xdr:col>
                    <xdr:colOff>0</xdr:colOff>
                    <xdr:row>29</xdr:row>
                    <xdr:rowOff>152400</xdr:rowOff>
                  </from>
                  <to>
                    <xdr:col>5</xdr:col>
                    <xdr:colOff>243840</xdr:colOff>
                    <xdr:row>31</xdr:row>
                    <xdr:rowOff>7620</xdr:rowOff>
                  </to>
                </anchor>
              </controlPr>
            </control>
          </mc:Choice>
        </mc:AlternateContent>
        <mc:AlternateContent xmlns:mc="http://schemas.openxmlformats.org/markup-compatibility/2006">
          <mc:Choice Requires="x14">
            <control shapeId="2246" r:id="rId35" name="Check Box 198">
              <controlPr defaultSize="0" autoFill="0" autoLine="0" autoPict="0">
                <anchor moveWithCells="1">
                  <from>
                    <xdr:col>5</xdr:col>
                    <xdr:colOff>0</xdr:colOff>
                    <xdr:row>30</xdr:row>
                    <xdr:rowOff>167640</xdr:rowOff>
                  </from>
                  <to>
                    <xdr:col>5</xdr:col>
                    <xdr:colOff>243840</xdr:colOff>
                    <xdr:row>32</xdr:row>
                    <xdr:rowOff>22860</xdr:rowOff>
                  </to>
                </anchor>
              </controlPr>
            </control>
          </mc:Choice>
        </mc:AlternateContent>
        <mc:AlternateContent xmlns:mc="http://schemas.openxmlformats.org/markup-compatibility/2006">
          <mc:Choice Requires="x14">
            <control shapeId="2247" r:id="rId36" name="Check Box 199">
              <controlPr defaultSize="0" autoFill="0" autoLine="0" autoPict="0">
                <anchor moveWithCells="1">
                  <from>
                    <xdr:col>5</xdr:col>
                    <xdr:colOff>0</xdr:colOff>
                    <xdr:row>31</xdr:row>
                    <xdr:rowOff>160020</xdr:rowOff>
                  </from>
                  <to>
                    <xdr:col>5</xdr:col>
                    <xdr:colOff>243840</xdr:colOff>
                    <xdr:row>33</xdr:row>
                    <xdr:rowOff>15240</xdr:rowOff>
                  </to>
                </anchor>
              </controlPr>
            </control>
          </mc:Choice>
        </mc:AlternateContent>
        <mc:AlternateContent xmlns:mc="http://schemas.openxmlformats.org/markup-compatibility/2006">
          <mc:Choice Requires="x14">
            <control shapeId="2248" r:id="rId37" name="Check Box 200">
              <controlPr defaultSize="0" autoFill="0" autoLine="0" autoPict="0">
                <anchor moveWithCells="1">
                  <from>
                    <xdr:col>5</xdr:col>
                    <xdr:colOff>0</xdr:colOff>
                    <xdr:row>32</xdr:row>
                    <xdr:rowOff>160020</xdr:rowOff>
                  </from>
                  <to>
                    <xdr:col>5</xdr:col>
                    <xdr:colOff>243840</xdr:colOff>
                    <xdr:row>34</xdr:row>
                    <xdr:rowOff>15240</xdr:rowOff>
                  </to>
                </anchor>
              </controlPr>
            </control>
          </mc:Choice>
        </mc:AlternateContent>
        <mc:AlternateContent xmlns:mc="http://schemas.openxmlformats.org/markup-compatibility/2006">
          <mc:Choice Requires="x14">
            <control shapeId="2249" r:id="rId38" name="Check Box 201">
              <controlPr defaultSize="0" autoFill="0" autoLine="0" autoPict="0">
                <anchor moveWithCells="1">
                  <from>
                    <xdr:col>5</xdr:col>
                    <xdr:colOff>0</xdr:colOff>
                    <xdr:row>33</xdr:row>
                    <xdr:rowOff>152400</xdr:rowOff>
                  </from>
                  <to>
                    <xdr:col>5</xdr:col>
                    <xdr:colOff>243840</xdr:colOff>
                    <xdr:row>35</xdr:row>
                    <xdr:rowOff>7620</xdr:rowOff>
                  </to>
                </anchor>
              </controlPr>
            </control>
          </mc:Choice>
        </mc:AlternateContent>
        <mc:AlternateContent xmlns:mc="http://schemas.openxmlformats.org/markup-compatibility/2006">
          <mc:Choice Requires="x14">
            <control shapeId="2250" r:id="rId39" name="Check Box 202">
              <controlPr defaultSize="0" autoFill="0" autoLine="0" autoPict="0">
                <anchor moveWithCells="1">
                  <from>
                    <xdr:col>5</xdr:col>
                    <xdr:colOff>0</xdr:colOff>
                    <xdr:row>34</xdr:row>
                    <xdr:rowOff>152400</xdr:rowOff>
                  </from>
                  <to>
                    <xdr:col>5</xdr:col>
                    <xdr:colOff>243840</xdr:colOff>
                    <xdr:row>36</xdr:row>
                    <xdr:rowOff>7620</xdr:rowOff>
                  </to>
                </anchor>
              </controlPr>
            </control>
          </mc:Choice>
        </mc:AlternateContent>
        <mc:AlternateContent xmlns:mc="http://schemas.openxmlformats.org/markup-compatibility/2006">
          <mc:Choice Requires="x14">
            <control shapeId="2251" r:id="rId40" name="Check Box 203">
              <controlPr defaultSize="0" autoFill="0" autoLine="0" autoPict="0">
                <anchor moveWithCells="1">
                  <from>
                    <xdr:col>5</xdr:col>
                    <xdr:colOff>7620</xdr:colOff>
                    <xdr:row>35</xdr:row>
                    <xdr:rowOff>160020</xdr:rowOff>
                  </from>
                  <to>
                    <xdr:col>5</xdr:col>
                    <xdr:colOff>251460</xdr:colOff>
                    <xdr:row>37</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DF49575-E899-4C0D-B206-BA060EEA9768}">
          <x14:formula1>
            <xm:f>choices!$I$2:$I$15</xm:f>
          </x14:formula1>
          <xm:sqref>D3:F3</xm:sqref>
        </x14:dataValidation>
        <x14:dataValidation type="list" allowBlank="1" showInputMessage="1" showErrorMessage="1" xr:uid="{E6114FDE-E6B4-4412-AA53-F1366D2D3853}">
          <x14:formula1>
            <xm:f>choices!$M$2:$M$6</xm:f>
          </x14:formula1>
          <xm:sqref>C10 F10 I14 C14 C18 C22 C26 F14 F18 F22 F26 I10 I18 I22 I26</xm:sqref>
        </x14:dataValidation>
        <x14:dataValidation type="list" allowBlank="1" showInputMessage="1" showErrorMessage="1" xr:uid="{C36F0E1A-6915-47D1-86CF-9B5BE999077A}">
          <x14:formula1>
            <xm:f>choices!$K$2:$K$44</xm:f>
          </x14:formula1>
          <xm:sqref>B10 E10 H14 B14 B18 B22 B26 E14 E18 E22 E26 H10 H18 H22 H26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75B52-0308-49D6-BA3A-7438C1EFE550}">
  <sheetPr codeName="Sheet3"/>
  <dimension ref="A1:J91"/>
  <sheetViews>
    <sheetView showGridLines="0" topLeftCell="A76" workbookViewId="0">
      <selection activeCell="E55" sqref="E55"/>
    </sheetView>
  </sheetViews>
  <sheetFormatPr defaultRowHeight="14.4" x14ac:dyDescent="0.3"/>
  <cols>
    <col min="1" max="1" width="3.109375" style="29" customWidth="1"/>
    <col min="2" max="2" width="12.77734375" style="30" customWidth="1"/>
    <col min="3" max="3" width="20.77734375" style="29" customWidth="1"/>
    <col min="4" max="4" width="4.77734375" style="29" bestFit="1" customWidth="1"/>
    <col min="5" max="5" width="12.77734375" style="29" customWidth="1"/>
    <col min="6" max="6" width="20.77734375" style="29" customWidth="1"/>
    <col min="7" max="7" width="5.21875" style="29" bestFit="1" customWidth="1"/>
    <col min="8" max="8" width="12.77734375" style="29" customWidth="1"/>
    <col min="9" max="9" width="20.77734375" style="29" customWidth="1"/>
    <col min="10" max="10" width="2.6640625" style="29" customWidth="1"/>
    <col min="11" max="16384" width="8.88671875" style="29"/>
  </cols>
  <sheetData>
    <row r="1" spans="1:10" x14ac:dyDescent="0.3">
      <c r="A1" s="42"/>
      <c r="B1" s="43"/>
      <c r="C1" s="42"/>
      <c r="D1" s="42"/>
      <c r="E1" s="42"/>
      <c r="F1" s="42"/>
      <c r="G1" s="42"/>
      <c r="H1" s="42"/>
      <c r="I1" s="42"/>
      <c r="J1" s="44"/>
    </row>
    <row r="2" spans="1:10" ht="21" x14ac:dyDescent="0.4">
      <c r="A2" s="140" t="s">
        <v>52</v>
      </c>
      <c r="B2" s="140"/>
      <c r="C2" s="140"/>
      <c r="D2" s="140"/>
      <c r="E2" s="140"/>
      <c r="F2" s="140"/>
      <c r="G2" s="140"/>
      <c r="H2" s="140"/>
      <c r="I2" s="140"/>
      <c r="J2" s="44"/>
    </row>
    <row r="3" spans="1:10" ht="14.4" customHeight="1" x14ac:dyDescent="0.3">
      <c r="A3" s="42"/>
      <c r="B3" s="158" t="s">
        <v>53</v>
      </c>
      <c r="C3" s="158"/>
      <c r="D3" s="179"/>
      <c r="E3" s="180"/>
      <c r="F3" s="181"/>
      <c r="G3" s="42"/>
      <c r="H3" s="42"/>
      <c r="I3" s="42"/>
      <c r="J3" s="44"/>
    </row>
    <row r="4" spans="1:10" x14ac:dyDescent="0.3">
      <c r="A4" s="42"/>
      <c r="B4" s="43"/>
      <c r="C4" s="42"/>
      <c r="D4" s="42"/>
      <c r="E4" s="42"/>
      <c r="F4" s="42"/>
      <c r="G4" s="42"/>
      <c r="H4" s="42"/>
      <c r="I4" s="42"/>
      <c r="J4" s="44"/>
    </row>
    <row r="5" spans="1:10" ht="21" x14ac:dyDescent="0.4">
      <c r="A5" s="140" t="s">
        <v>73</v>
      </c>
      <c r="B5" s="140"/>
      <c r="C5" s="140"/>
      <c r="D5" s="140"/>
      <c r="E5" s="140"/>
      <c r="F5" s="140"/>
      <c r="G5" s="140"/>
      <c r="H5" s="140"/>
      <c r="I5" s="140"/>
      <c r="J5" s="44"/>
    </row>
    <row r="6" spans="1:10" ht="84.6" customHeight="1" x14ac:dyDescent="0.4">
      <c r="A6" s="45"/>
      <c r="B6" s="137" t="s">
        <v>129</v>
      </c>
      <c r="C6" s="176"/>
      <c r="D6" s="176"/>
      <c r="E6" s="176"/>
      <c r="F6" s="176"/>
      <c r="G6" s="176"/>
      <c r="H6" s="176"/>
      <c r="I6" s="177"/>
      <c r="J6" s="44"/>
    </row>
    <row r="7" spans="1:10" x14ac:dyDescent="0.3">
      <c r="A7" s="46"/>
      <c r="B7" s="47" t="s">
        <v>75</v>
      </c>
      <c r="C7" s="48" t="s">
        <v>76</v>
      </c>
      <c r="D7" s="49"/>
      <c r="E7" s="47" t="s">
        <v>75</v>
      </c>
      <c r="F7" s="48" t="s">
        <v>76</v>
      </c>
      <c r="G7" s="49"/>
      <c r="H7" s="47" t="s">
        <v>75</v>
      </c>
      <c r="I7" s="48" t="s">
        <v>76</v>
      </c>
      <c r="J7" s="44"/>
    </row>
    <row r="8" spans="1:10" ht="10.050000000000001" customHeight="1" x14ac:dyDescent="0.3">
      <c r="A8" s="46"/>
      <c r="B8" s="46"/>
      <c r="C8" s="42"/>
      <c r="D8" s="50"/>
      <c r="E8" s="46"/>
      <c r="F8" s="42"/>
      <c r="G8" s="50"/>
      <c r="H8" s="46"/>
      <c r="I8" s="42"/>
      <c r="J8" s="44"/>
    </row>
    <row r="9" spans="1:10" x14ac:dyDescent="0.3">
      <c r="A9" s="46"/>
      <c r="B9" s="51"/>
      <c r="C9" s="52"/>
      <c r="D9" s="53" t="s">
        <v>78</v>
      </c>
      <c r="E9" s="51"/>
      <c r="F9" s="52"/>
      <c r="G9" s="53" t="s">
        <v>78</v>
      </c>
      <c r="H9" s="51"/>
      <c r="I9" s="52"/>
      <c r="J9" s="44"/>
    </row>
    <row r="10" spans="1:10" ht="10.050000000000001" customHeight="1" x14ac:dyDescent="0.3">
      <c r="A10" s="46"/>
      <c r="B10" s="54"/>
      <c r="C10" s="55"/>
      <c r="D10" s="56"/>
      <c r="E10" s="54"/>
      <c r="F10" s="55"/>
      <c r="G10" s="56"/>
      <c r="H10" s="54"/>
      <c r="I10" s="55"/>
      <c r="J10" s="44"/>
    </row>
    <row r="11" spans="1:10" x14ac:dyDescent="0.3">
      <c r="A11" s="46"/>
      <c r="B11" s="54"/>
      <c r="C11" s="55"/>
      <c r="D11" s="56"/>
      <c r="E11" s="151" t="s">
        <v>77</v>
      </c>
      <c r="F11" s="151"/>
      <c r="G11" s="56"/>
      <c r="H11" s="54"/>
      <c r="I11" s="55"/>
      <c r="J11" s="44"/>
    </row>
    <row r="12" spans="1:10" ht="10.050000000000001" customHeight="1" x14ac:dyDescent="0.3">
      <c r="A12" s="46"/>
      <c r="B12" s="54"/>
      <c r="C12" s="55"/>
      <c r="D12" s="56"/>
      <c r="E12" s="54"/>
      <c r="F12" s="55"/>
      <c r="G12" s="56"/>
      <c r="H12" s="54"/>
      <c r="I12" s="55"/>
      <c r="J12" s="44"/>
    </row>
    <row r="13" spans="1:10" x14ac:dyDescent="0.3">
      <c r="A13" s="46"/>
      <c r="B13" s="51"/>
      <c r="C13" s="52"/>
      <c r="D13" s="53" t="s">
        <v>78</v>
      </c>
      <c r="E13" s="51"/>
      <c r="F13" s="52"/>
      <c r="G13" s="53" t="s">
        <v>78</v>
      </c>
      <c r="H13" s="51"/>
      <c r="I13" s="52"/>
      <c r="J13" s="44"/>
    </row>
    <row r="14" spans="1:10" ht="10.050000000000001" customHeight="1" x14ac:dyDescent="0.3">
      <c r="A14" s="46"/>
      <c r="B14" s="54"/>
      <c r="C14" s="55"/>
      <c r="D14" s="56"/>
      <c r="E14" s="54"/>
      <c r="F14" s="55"/>
      <c r="G14" s="56"/>
      <c r="H14" s="54"/>
      <c r="I14" s="55"/>
      <c r="J14" s="44"/>
    </row>
    <row r="15" spans="1:10" x14ac:dyDescent="0.3">
      <c r="A15" s="46"/>
      <c r="B15" s="54"/>
      <c r="C15" s="55"/>
      <c r="D15" s="56"/>
      <c r="E15" s="151" t="s">
        <v>77</v>
      </c>
      <c r="F15" s="151"/>
      <c r="G15" s="56"/>
      <c r="H15" s="54"/>
      <c r="I15" s="55"/>
      <c r="J15" s="44"/>
    </row>
    <row r="16" spans="1:10" ht="10.050000000000001" customHeight="1" x14ac:dyDescent="0.3">
      <c r="A16" s="46"/>
      <c r="B16" s="54"/>
      <c r="C16" s="55"/>
      <c r="D16" s="56"/>
      <c r="E16" s="54"/>
      <c r="F16" s="55"/>
      <c r="G16" s="56"/>
      <c r="H16" s="54"/>
      <c r="I16" s="55"/>
      <c r="J16" s="44"/>
    </row>
    <row r="17" spans="1:10" x14ac:dyDescent="0.3">
      <c r="A17" s="46"/>
      <c r="B17" s="51"/>
      <c r="C17" s="52"/>
      <c r="D17" s="53" t="s">
        <v>78</v>
      </c>
      <c r="E17" s="51"/>
      <c r="F17" s="52"/>
      <c r="G17" s="53" t="s">
        <v>78</v>
      </c>
      <c r="H17" s="51"/>
      <c r="I17" s="52"/>
      <c r="J17" s="44"/>
    </row>
    <row r="18" spans="1:10" ht="10.050000000000001" customHeight="1" x14ac:dyDescent="0.3">
      <c r="A18" s="46"/>
      <c r="B18" s="54"/>
      <c r="C18" s="55"/>
      <c r="D18" s="56"/>
      <c r="E18" s="54"/>
      <c r="F18" s="55"/>
      <c r="G18" s="56"/>
      <c r="H18" s="54"/>
      <c r="I18" s="55"/>
      <c r="J18" s="44"/>
    </row>
    <row r="19" spans="1:10" x14ac:dyDescent="0.3">
      <c r="A19" s="46"/>
      <c r="B19" s="54"/>
      <c r="C19" s="55"/>
      <c r="D19" s="56"/>
      <c r="E19" s="151" t="s">
        <v>77</v>
      </c>
      <c r="F19" s="151"/>
      <c r="G19" s="56"/>
      <c r="H19" s="54"/>
      <c r="I19" s="55"/>
      <c r="J19" s="44"/>
    </row>
    <row r="20" spans="1:10" ht="10.050000000000001" customHeight="1" x14ac:dyDescent="0.3">
      <c r="A20" s="46"/>
      <c r="B20" s="54"/>
      <c r="C20" s="55"/>
      <c r="D20" s="56"/>
      <c r="E20" s="54"/>
      <c r="F20" s="55"/>
      <c r="G20" s="56"/>
      <c r="H20" s="54"/>
      <c r="I20" s="55"/>
      <c r="J20" s="44"/>
    </row>
    <row r="21" spans="1:10" x14ac:dyDescent="0.3">
      <c r="A21" s="46"/>
      <c r="B21" s="51"/>
      <c r="C21" s="52"/>
      <c r="D21" s="53" t="s">
        <v>78</v>
      </c>
      <c r="E21" s="51"/>
      <c r="F21" s="52"/>
      <c r="G21" s="53" t="s">
        <v>78</v>
      </c>
      <c r="H21" s="51"/>
      <c r="I21" s="52"/>
      <c r="J21" s="44"/>
    </row>
    <row r="22" spans="1:10" ht="10.050000000000001" customHeight="1" x14ac:dyDescent="0.3">
      <c r="A22" s="46"/>
      <c r="B22" s="54"/>
      <c r="C22" s="55"/>
      <c r="D22" s="56"/>
      <c r="E22" s="54"/>
      <c r="F22" s="55"/>
      <c r="G22" s="56"/>
      <c r="H22" s="54"/>
      <c r="I22" s="55"/>
      <c r="J22" s="44"/>
    </row>
    <row r="23" spans="1:10" x14ac:dyDescent="0.3">
      <c r="A23" s="46"/>
      <c r="B23" s="54"/>
      <c r="C23" s="55"/>
      <c r="D23" s="56"/>
      <c r="E23" s="151" t="s">
        <v>77</v>
      </c>
      <c r="F23" s="151"/>
      <c r="G23" s="56"/>
      <c r="H23" s="54"/>
      <c r="I23" s="55"/>
      <c r="J23" s="44"/>
    </row>
    <row r="24" spans="1:10" ht="10.050000000000001" customHeight="1" x14ac:dyDescent="0.3">
      <c r="A24" s="46"/>
      <c r="B24" s="54"/>
      <c r="C24" s="55"/>
      <c r="D24" s="56"/>
      <c r="E24" s="54"/>
      <c r="F24" s="55"/>
      <c r="G24" s="56"/>
      <c r="H24" s="54"/>
      <c r="I24" s="55"/>
      <c r="J24" s="44"/>
    </row>
    <row r="25" spans="1:10" x14ac:dyDescent="0.3">
      <c r="A25" s="46"/>
      <c r="B25" s="51"/>
      <c r="C25" s="52"/>
      <c r="D25" s="53" t="s">
        <v>78</v>
      </c>
      <c r="E25" s="51"/>
      <c r="F25" s="52"/>
      <c r="G25" s="53" t="s">
        <v>78</v>
      </c>
      <c r="H25" s="51"/>
      <c r="I25" s="52"/>
      <c r="J25" s="44"/>
    </row>
    <row r="26" spans="1:10" x14ac:dyDescent="0.3">
      <c r="A26" s="46"/>
      <c r="B26" s="54"/>
      <c r="C26" s="55"/>
      <c r="D26" s="57"/>
      <c r="E26" s="54"/>
      <c r="F26" s="55"/>
      <c r="G26" s="57"/>
      <c r="H26" s="54"/>
      <c r="I26" s="55"/>
      <c r="J26" s="44"/>
    </row>
    <row r="27" spans="1:10" ht="21" x14ac:dyDescent="0.4">
      <c r="A27" s="140" t="s">
        <v>74</v>
      </c>
      <c r="B27" s="140"/>
      <c r="C27" s="140"/>
      <c r="D27" s="140"/>
      <c r="E27" s="140"/>
      <c r="F27" s="140"/>
      <c r="G27" s="140"/>
      <c r="H27" s="140"/>
      <c r="I27" s="140"/>
      <c r="J27" s="44"/>
    </row>
    <row r="28" spans="1:10" ht="78" customHeight="1" x14ac:dyDescent="0.3">
      <c r="A28" s="42"/>
      <c r="B28" s="137" t="s">
        <v>130</v>
      </c>
      <c r="C28" s="176"/>
      <c r="D28" s="176"/>
      <c r="E28" s="176"/>
      <c r="F28" s="176"/>
      <c r="G28" s="176"/>
      <c r="H28" s="176"/>
      <c r="I28" s="177"/>
      <c r="J28" s="44"/>
    </row>
    <row r="29" spans="1:10" ht="10.050000000000001" customHeight="1" x14ac:dyDescent="0.3">
      <c r="A29" s="42"/>
      <c r="B29" s="43"/>
      <c r="C29" s="42"/>
      <c r="D29" s="42"/>
      <c r="E29" s="42"/>
      <c r="F29" s="42"/>
      <c r="G29" s="42"/>
      <c r="H29" s="42"/>
      <c r="I29" s="42"/>
      <c r="J29" s="44"/>
    </row>
    <row r="30" spans="1:10" x14ac:dyDescent="0.3">
      <c r="A30" s="42"/>
      <c r="B30" s="58" t="s">
        <v>131</v>
      </c>
      <c r="C30" s="179"/>
      <c r="D30" s="180"/>
      <c r="E30" s="180"/>
      <c r="F30" s="181"/>
      <c r="G30" s="48" t="s">
        <v>77</v>
      </c>
      <c r="H30" s="42"/>
      <c r="I30" s="42"/>
      <c r="J30" s="44"/>
    </row>
    <row r="31" spans="1:10" ht="10.050000000000001" customHeight="1" x14ac:dyDescent="0.3">
      <c r="A31" s="42"/>
      <c r="B31" s="58"/>
      <c r="C31" s="59"/>
      <c r="D31" s="46"/>
      <c r="E31" s="46"/>
      <c r="F31" s="46"/>
      <c r="G31" s="42"/>
      <c r="H31" s="42"/>
      <c r="I31" s="42"/>
      <c r="J31" s="44"/>
    </row>
    <row r="32" spans="1:10" x14ac:dyDescent="0.3">
      <c r="A32" s="42"/>
      <c r="B32" s="58" t="s">
        <v>132</v>
      </c>
      <c r="C32" s="179"/>
      <c r="D32" s="180"/>
      <c r="E32" s="180"/>
      <c r="F32" s="181"/>
      <c r="G32" s="48" t="s">
        <v>77</v>
      </c>
      <c r="H32" s="42"/>
      <c r="I32" s="42"/>
      <c r="J32" s="44"/>
    </row>
    <row r="33" spans="1:10" ht="10.050000000000001" customHeight="1" x14ac:dyDescent="0.3">
      <c r="A33" s="42"/>
      <c r="B33" s="58"/>
      <c r="C33" s="59"/>
      <c r="D33" s="46"/>
      <c r="E33" s="46"/>
      <c r="F33" s="46"/>
      <c r="G33" s="42"/>
      <c r="H33" s="42"/>
      <c r="I33" s="42"/>
      <c r="J33" s="44"/>
    </row>
    <row r="34" spans="1:10" x14ac:dyDescent="0.3">
      <c r="A34" s="42"/>
      <c r="B34" s="58" t="s">
        <v>133</v>
      </c>
      <c r="C34" s="179"/>
      <c r="D34" s="180"/>
      <c r="E34" s="180"/>
      <c r="F34" s="181"/>
      <c r="G34" s="48" t="s">
        <v>77</v>
      </c>
      <c r="H34" s="42"/>
      <c r="I34" s="42"/>
      <c r="J34" s="44"/>
    </row>
    <row r="35" spans="1:10" ht="10.050000000000001" customHeight="1" x14ac:dyDescent="0.3">
      <c r="A35" s="42"/>
      <c r="B35" s="58"/>
      <c r="C35" s="59"/>
      <c r="D35" s="46"/>
      <c r="E35" s="46"/>
      <c r="F35" s="46"/>
      <c r="G35" s="42"/>
      <c r="H35" s="42"/>
      <c r="I35" s="42"/>
      <c r="J35" s="44"/>
    </row>
    <row r="36" spans="1:10" x14ac:dyDescent="0.3">
      <c r="A36" s="42"/>
      <c r="B36" s="58" t="s">
        <v>134</v>
      </c>
      <c r="C36" s="179"/>
      <c r="D36" s="180"/>
      <c r="E36" s="180"/>
      <c r="F36" s="181"/>
      <c r="G36" s="48" t="s">
        <v>77</v>
      </c>
      <c r="H36" s="42"/>
      <c r="I36" s="42"/>
      <c r="J36" s="44"/>
    </row>
    <row r="37" spans="1:10" ht="10.050000000000001" customHeight="1" x14ac:dyDescent="0.3">
      <c r="A37" s="42"/>
      <c r="B37" s="58"/>
      <c r="C37" s="59"/>
      <c r="D37" s="46"/>
      <c r="E37" s="46"/>
      <c r="F37" s="46"/>
      <c r="G37" s="42"/>
      <c r="H37" s="42"/>
      <c r="I37" s="42"/>
      <c r="J37" s="44"/>
    </row>
    <row r="38" spans="1:10" x14ac:dyDescent="0.3">
      <c r="A38" s="42"/>
      <c r="B38" s="58" t="s">
        <v>135</v>
      </c>
      <c r="C38" s="179"/>
      <c r="D38" s="180"/>
      <c r="E38" s="180"/>
      <c r="F38" s="181"/>
      <c r="G38" s="48" t="s">
        <v>77</v>
      </c>
      <c r="H38" s="42"/>
      <c r="I38" s="42"/>
      <c r="J38" s="44"/>
    </row>
    <row r="39" spans="1:10" ht="10.050000000000001" customHeight="1" x14ac:dyDescent="0.3">
      <c r="A39" s="42"/>
      <c r="B39" s="58"/>
      <c r="C39" s="59"/>
      <c r="D39" s="46"/>
      <c r="E39" s="46"/>
      <c r="F39" s="46"/>
      <c r="G39" s="42"/>
      <c r="H39" s="42"/>
      <c r="I39" s="42"/>
      <c r="J39" s="44"/>
    </row>
    <row r="40" spans="1:10" x14ac:dyDescent="0.3">
      <c r="A40" s="42"/>
      <c r="B40" s="58" t="s">
        <v>136</v>
      </c>
      <c r="C40" s="179"/>
      <c r="D40" s="180"/>
      <c r="E40" s="180"/>
      <c r="F40" s="181"/>
      <c r="G40" s="48" t="s">
        <v>77</v>
      </c>
      <c r="H40" s="42"/>
      <c r="I40" s="42"/>
      <c r="J40" s="44"/>
    </row>
    <row r="41" spans="1:10" ht="10.050000000000001" customHeight="1" x14ac:dyDescent="0.3">
      <c r="A41" s="42"/>
      <c r="B41" s="58"/>
      <c r="C41" s="59"/>
      <c r="D41" s="46"/>
      <c r="E41" s="46"/>
      <c r="F41" s="46"/>
      <c r="G41" s="42"/>
      <c r="H41" s="42"/>
      <c r="I41" s="42"/>
      <c r="J41" s="44"/>
    </row>
    <row r="42" spans="1:10" x14ac:dyDescent="0.3">
      <c r="A42" s="42"/>
      <c r="B42" s="58" t="s">
        <v>137</v>
      </c>
      <c r="C42" s="179"/>
      <c r="D42" s="180"/>
      <c r="E42" s="180"/>
      <c r="F42" s="181"/>
      <c r="G42" s="48" t="s">
        <v>77</v>
      </c>
      <c r="H42" s="42"/>
      <c r="I42" s="42"/>
      <c r="J42" s="44"/>
    </row>
    <row r="43" spans="1:10" ht="10.050000000000001" customHeight="1" x14ac:dyDescent="0.3">
      <c r="A43" s="42"/>
      <c r="B43" s="58"/>
      <c r="C43" s="59"/>
      <c r="D43" s="46"/>
      <c r="E43" s="46"/>
      <c r="F43" s="46"/>
      <c r="G43" s="42"/>
      <c r="H43" s="42"/>
      <c r="I43" s="42"/>
      <c r="J43" s="44"/>
    </row>
    <row r="44" spans="1:10" x14ac:dyDescent="0.3">
      <c r="A44" s="42"/>
      <c r="B44" s="58" t="s">
        <v>138</v>
      </c>
      <c r="C44" s="179"/>
      <c r="D44" s="180"/>
      <c r="E44" s="180"/>
      <c r="F44" s="181"/>
      <c r="G44" s="48" t="s">
        <v>77</v>
      </c>
      <c r="H44" s="42"/>
      <c r="I44" s="42"/>
      <c r="J44" s="44"/>
    </row>
    <row r="45" spans="1:10" ht="10.050000000000001" customHeight="1" x14ac:dyDescent="0.3">
      <c r="A45" s="42"/>
      <c r="B45" s="58"/>
      <c r="C45" s="59"/>
      <c r="D45" s="46"/>
      <c r="E45" s="46"/>
      <c r="F45" s="46"/>
      <c r="G45" s="42"/>
      <c r="H45" s="42"/>
      <c r="I45" s="42"/>
      <c r="J45" s="44"/>
    </row>
    <row r="46" spans="1:10" x14ac:dyDescent="0.3">
      <c r="A46" s="42"/>
      <c r="B46" s="58" t="s">
        <v>139</v>
      </c>
      <c r="C46" s="179"/>
      <c r="D46" s="180"/>
      <c r="E46" s="180"/>
      <c r="F46" s="181"/>
      <c r="G46" s="48"/>
      <c r="H46" s="42"/>
      <c r="I46" s="42"/>
      <c r="J46" s="44"/>
    </row>
    <row r="47" spans="1:10" ht="10.050000000000001" customHeight="1" x14ac:dyDescent="0.3">
      <c r="A47" s="42"/>
      <c r="B47" s="59"/>
      <c r="C47" s="59"/>
      <c r="D47" s="42"/>
      <c r="E47" s="42"/>
      <c r="F47" s="42"/>
      <c r="G47" s="42"/>
      <c r="H47" s="42"/>
      <c r="I47" s="42"/>
      <c r="J47" s="44"/>
    </row>
    <row r="48" spans="1:10" ht="21" x14ac:dyDescent="0.4">
      <c r="A48" s="140" t="s">
        <v>72</v>
      </c>
      <c r="B48" s="140"/>
      <c r="C48" s="140"/>
      <c r="D48" s="140"/>
      <c r="E48" s="140"/>
      <c r="F48" s="140"/>
      <c r="G48" s="140"/>
      <c r="H48" s="140"/>
      <c r="I48" s="140"/>
      <c r="J48" s="44"/>
    </row>
    <row r="49" spans="1:10" ht="50.4" customHeight="1" x14ac:dyDescent="0.3">
      <c r="A49" s="42"/>
      <c r="B49" s="137" t="s">
        <v>151</v>
      </c>
      <c r="C49" s="176"/>
      <c r="D49" s="176"/>
      <c r="E49" s="176"/>
      <c r="F49" s="176"/>
      <c r="G49" s="176"/>
      <c r="H49" s="176"/>
      <c r="I49" s="177"/>
      <c r="J49" s="44"/>
    </row>
    <row r="50" spans="1:10" ht="10.050000000000001" customHeight="1" x14ac:dyDescent="0.3">
      <c r="A50" s="42"/>
      <c r="B50" s="43"/>
      <c r="C50" s="42"/>
      <c r="D50" s="42"/>
      <c r="E50" s="42"/>
      <c r="F50" s="42"/>
      <c r="G50" s="42"/>
      <c r="H50" s="42"/>
      <c r="I50" s="42"/>
      <c r="J50" s="44"/>
    </row>
    <row r="51" spans="1:10" ht="14.4" customHeight="1" x14ac:dyDescent="0.3">
      <c r="A51" s="42"/>
      <c r="B51" s="175" t="s">
        <v>223</v>
      </c>
      <c r="C51" s="175"/>
      <c r="D51" s="42"/>
      <c r="E51" s="166"/>
      <c r="F51" s="167"/>
      <c r="G51" s="167"/>
      <c r="H51" s="167"/>
      <c r="I51" s="168"/>
      <c r="J51" s="44"/>
    </row>
    <row r="52" spans="1:10" x14ac:dyDescent="0.3">
      <c r="A52" s="42"/>
      <c r="B52" s="175"/>
      <c r="C52" s="175"/>
      <c r="D52" s="42"/>
      <c r="E52" s="169"/>
      <c r="F52" s="170"/>
      <c r="G52" s="170"/>
      <c r="H52" s="170"/>
      <c r="I52" s="171"/>
      <c r="J52" s="44"/>
    </row>
    <row r="53" spans="1:10" x14ac:dyDescent="0.3">
      <c r="A53" s="42"/>
      <c r="B53" s="175"/>
      <c r="C53" s="175"/>
      <c r="D53" s="42"/>
      <c r="E53" s="172"/>
      <c r="F53" s="173"/>
      <c r="G53" s="173"/>
      <c r="H53" s="173"/>
      <c r="I53" s="174"/>
      <c r="J53" s="44"/>
    </row>
    <row r="54" spans="1:10" ht="10.050000000000001" customHeight="1" x14ac:dyDescent="0.3">
      <c r="A54" s="42"/>
      <c r="B54" s="43"/>
      <c r="C54" s="42"/>
      <c r="D54" s="42"/>
      <c r="E54" s="42"/>
      <c r="F54" s="42"/>
      <c r="G54" s="42"/>
      <c r="H54" s="42"/>
      <c r="I54" s="42"/>
      <c r="J54" s="44"/>
    </row>
    <row r="55" spans="1:10" ht="14.4" customHeight="1" x14ac:dyDescent="0.3">
      <c r="A55" s="42"/>
      <c r="B55" s="175" t="s">
        <v>216</v>
      </c>
      <c r="C55" s="175"/>
      <c r="D55" s="42"/>
      <c r="E55" s="60"/>
      <c r="F55" s="42"/>
      <c r="G55" s="42"/>
      <c r="H55" s="42"/>
      <c r="I55" s="42"/>
      <c r="J55" s="44"/>
    </row>
    <row r="56" spans="1:10" ht="14.4" customHeight="1" x14ac:dyDescent="0.3">
      <c r="A56" s="42"/>
      <c r="B56" s="175"/>
      <c r="C56" s="175"/>
      <c r="D56" s="42"/>
      <c r="E56" s="42"/>
      <c r="F56" s="42"/>
      <c r="G56" s="42"/>
      <c r="H56" s="42"/>
      <c r="I56" s="42"/>
      <c r="J56" s="44"/>
    </row>
    <row r="57" spans="1:10" ht="10.050000000000001" customHeight="1" x14ac:dyDescent="0.3">
      <c r="A57" s="42"/>
      <c r="B57" s="59"/>
      <c r="C57" s="59"/>
      <c r="D57" s="42"/>
      <c r="E57" s="42"/>
      <c r="F57" s="42"/>
      <c r="G57" s="42"/>
      <c r="H57" s="42"/>
      <c r="I57" s="42"/>
      <c r="J57" s="44"/>
    </row>
    <row r="58" spans="1:10" ht="14.4" customHeight="1" x14ac:dyDescent="0.3">
      <c r="A58" s="42"/>
      <c r="B58" s="175" t="s">
        <v>224</v>
      </c>
      <c r="C58" s="175"/>
      <c r="D58" s="42"/>
      <c r="E58" s="61"/>
      <c r="F58" s="42"/>
      <c r="G58" s="42"/>
      <c r="H58" s="42"/>
      <c r="I58" s="42"/>
      <c r="J58" s="44"/>
    </row>
    <row r="59" spans="1:10" ht="14.4" customHeight="1" x14ac:dyDescent="0.3">
      <c r="A59" s="42"/>
      <c r="B59" s="175"/>
      <c r="C59" s="175"/>
      <c r="D59" s="42"/>
      <c r="E59" s="62"/>
      <c r="F59" s="42"/>
      <c r="G59" s="42"/>
      <c r="H59" s="42"/>
      <c r="I59" s="42"/>
      <c r="J59" s="44"/>
    </row>
    <row r="60" spans="1:10" ht="14.4" customHeight="1" x14ac:dyDescent="0.3">
      <c r="A60" s="42"/>
      <c r="B60" s="175"/>
      <c r="C60" s="175"/>
      <c r="D60" s="42"/>
      <c r="E60" s="62"/>
      <c r="F60" s="42"/>
      <c r="G60" s="42"/>
      <c r="H60" s="42"/>
      <c r="I60" s="42"/>
      <c r="J60" s="44"/>
    </row>
    <row r="61" spans="1:10" ht="14.4" customHeight="1" x14ac:dyDescent="0.3">
      <c r="A61" s="42"/>
      <c r="B61" s="175"/>
      <c r="C61" s="175"/>
      <c r="D61" s="42"/>
      <c r="E61" s="42"/>
      <c r="F61" s="42"/>
      <c r="G61" s="42"/>
      <c r="H61" s="42"/>
      <c r="I61" s="42"/>
      <c r="J61" s="44"/>
    </row>
    <row r="62" spans="1:10" ht="10.050000000000001" customHeight="1" x14ac:dyDescent="0.3">
      <c r="A62" s="42"/>
      <c r="B62" s="43"/>
      <c r="C62" s="42"/>
      <c r="D62" s="42"/>
      <c r="E62" s="42"/>
      <c r="F62" s="42"/>
      <c r="G62" s="42"/>
      <c r="H62" s="42"/>
      <c r="I62" s="42"/>
      <c r="J62" s="44"/>
    </row>
    <row r="63" spans="1:10" x14ac:dyDescent="0.3">
      <c r="A63" s="42"/>
      <c r="B63" s="178" t="s">
        <v>152</v>
      </c>
      <c r="C63" s="178"/>
      <c r="D63" s="178"/>
      <c r="E63" s="178"/>
      <c r="F63" s="178"/>
      <c r="G63" s="48"/>
      <c r="H63" s="141" t="s">
        <v>153</v>
      </c>
      <c r="I63" s="141"/>
      <c r="J63" s="44"/>
    </row>
    <row r="64" spans="1:10" s="22" customFormat="1" x14ac:dyDescent="0.3">
      <c r="A64" s="63">
        <v>1</v>
      </c>
      <c r="B64" s="130"/>
      <c r="C64" s="131"/>
      <c r="D64" s="131"/>
      <c r="E64" s="131"/>
      <c r="F64" s="132"/>
      <c r="G64" s="64" t="e">
        <f>VLOOKUP($B64, metrics, 2, 0)</f>
        <v>#N/A</v>
      </c>
      <c r="H64" s="133"/>
      <c r="I64" s="134"/>
      <c r="J64" s="65"/>
    </row>
    <row r="65" spans="1:10" s="22" customFormat="1" ht="10.050000000000001" customHeight="1" x14ac:dyDescent="0.3">
      <c r="A65" s="63"/>
      <c r="B65" s="66"/>
      <c r="C65" s="67"/>
      <c r="D65" s="67"/>
      <c r="E65" s="67"/>
      <c r="F65" s="67"/>
      <c r="G65" s="64"/>
      <c r="H65" s="67"/>
      <c r="I65" s="67"/>
      <c r="J65" s="65"/>
    </row>
    <row r="66" spans="1:10" s="22" customFormat="1" ht="14.4" customHeight="1" x14ac:dyDescent="0.3">
      <c r="A66" s="63">
        <v>2</v>
      </c>
      <c r="B66" s="130"/>
      <c r="C66" s="131"/>
      <c r="D66" s="131"/>
      <c r="E66" s="131"/>
      <c r="F66" s="132"/>
      <c r="G66" s="64" t="e">
        <f>VLOOKUP($B66, metrics, 2, 0)</f>
        <v>#N/A</v>
      </c>
      <c r="H66" s="133"/>
      <c r="I66" s="134"/>
      <c r="J66" s="65"/>
    </row>
    <row r="67" spans="1:10" s="22" customFormat="1" ht="10.050000000000001" customHeight="1" x14ac:dyDescent="0.3">
      <c r="A67" s="63"/>
      <c r="B67" s="66"/>
      <c r="C67" s="67"/>
      <c r="D67" s="67"/>
      <c r="E67" s="67"/>
      <c r="F67" s="67"/>
      <c r="G67" s="64"/>
      <c r="H67" s="67"/>
      <c r="I67" s="67"/>
      <c r="J67" s="65"/>
    </row>
    <row r="68" spans="1:10" s="22" customFormat="1" ht="14.4" customHeight="1" x14ac:dyDescent="0.3">
      <c r="A68" s="63">
        <v>3</v>
      </c>
      <c r="B68" s="130"/>
      <c r="C68" s="131"/>
      <c r="D68" s="131"/>
      <c r="E68" s="131"/>
      <c r="F68" s="132"/>
      <c r="G68" s="64" t="e">
        <f>VLOOKUP($B68, metrics, 2, 0)</f>
        <v>#N/A</v>
      </c>
      <c r="H68" s="133"/>
      <c r="I68" s="134"/>
      <c r="J68" s="65"/>
    </row>
    <row r="69" spans="1:10" s="22" customFormat="1" ht="10.050000000000001" customHeight="1" x14ac:dyDescent="0.3">
      <c r="A69" s="63"/>
      <c r="B69" s="66"/>
      <c r="C69" s="67"/>
      <c r="D69" s="67"/>
      <c r="E69" s="67"/>
      <c r="F69" s="67"/>
      <c r="G69" s="64"/>
      <c r="H69" s="67"/>
      <c r="I69" s="67"/>
      <c r="J69" s="65"/>
    </row>
    <row r="70" spans="1:10" s="22" customFormat="1" ht="14.4" customHeight="1" x14ac:dyDescent="0.3">
      <c r="A70" s="63">
        <v>4</v>
      </c>
      <c r="B70" s="130"/>
      <c r="C70" s="131"/>
      <c r="D70" s="131"/>
      <c r="E70" s="131"/>
      <c r="F70" s="132"/>
      <c r="G70" s="64" t="e">
        <f>VLOOKUP($B70, metrics, 2, 0)</f>
        <v>#N/A</v>
      </c>
      <c r="H70" s="133"/>
      <c r="I70" s="134"/>
      <c r="J70" s="65"/>
    </row>
    <row r="71" spans="1:10" s="22" customFormat="1" ht="10.050000000000001" customHeight="1" x14ac:dyDescent="0.3">
      <c r="A71" s="63"/>
      <c r="B71" s="66"/>
      <c r="C71" s="67"/>
      <c r="D71" s="67"/>
      <c r="E71" s="67"/>
      <c r="F71" s="67"/>
      <c r="G71" s="64"/>
      <c r="H71" s="67"/>
      <c r="I71" s="67"/>
      <c r="J71" s="65"/>
    </row>
    <row r="72" spans="1:10" s="22" customFormat="1" ht="14.4" customHeight="1" x14ac:dyDescent="0.3">
      <c r="A72" s="63">
        <v>5</v>
      </c>
      <c r="B72" s="130"/>
      <c r="C72" s="131"/>
      <c r="D72" s="131"/>
      <c r="E72" s="131"/>
      <c r="F72" s="132"/>
      <c r="G72" s="64" t="e">
        <f>VLOOKUP($B72, metrics, 2, 0)</f>
        <v>#N/A</v>
      </c>
      <c r="H72" s="133"/>
      <c r="I72" s="134"/>
      <c r="J72" s="65"/>
    </row>
    <row r="73" spans="1:10" s="22" customFormat="1" ht="10.050000000000001" customHeight="1" x14ac:dyDescent="0.3">
      <c r="A73" s="63"/>
      <c r="B73" s="66"/>
      <c r="C73" s="67"/>
      <c r="D73" s="67"/>
      <c r="E73" s="67"/>
      <c r="F73" s="67"/>
      <c r="G73" s="64"/>
      <c r="H73" s="67"/>
      <c r="I73" s="67"/>
      <c r="J73" s="65"/>
    </row>
    <row r="74" spans="1:10" s="22" customFormat="1" ht="14.4" customHeight="1" x14ac:dyDescent="0.3">
      <c r="A74" s="63">
        <v>6</v>
      </c>
      <c r="B74" s="130"/>
      <c r="C74" s="131"/>
      <c r="D74" s="131"/>
      <c r="E74" s="131"/>
      <c r="F74" s="132"/>
      <c r="G74" s="64" t="e">
        <f>VLOOKUP($B74, metrics, 2, 0)</f>
        <v>#N/A</v>
      </c>
      <c r="H74" s="133"/>
      <c r="I74" s="134"/>
      <c r="J74" s="65"/>
    </row>
    <row r="75" spans="1:10" ht="10.050000000000001" customHeight="1" x14ac:dyDescent="0.3">
      <c r="A75" s="42"/>
      <c r="B75" s="43"/>
      <c r="C75" s="42"/>
      <c r="D75" s="42"/>
      <c r="E75" s="42"/>
      <c r="F75" s="42"/>
      <c r="G75" s="42"/>
      <c r="H75" s="42"/>
      <c r="I75" s="42"/>
      <c r="J75" s="44"/>
    </row>
    <row r="76" spans="1:10" ht="21" x14ac:dyDescent="0.4">
      <c r="A76" s="140" t="s">
        <v>154</v>
      </c>
      <c r="B76" s="140"/>
      <c r="C76" s="140"/>
      <c r="D76" s="140"/>
      <c r="E76" s="140"/>
      <c r="F76" s="140"/>
      <c r="G76" s="140"/>
      <c r="H76" s="140"/>
      <c r="I76" s="140"/>
      <c r="J76" s="44"/>
    </row>
    <row r="77" spans="1:10" ht="54" customHeight="1" x14ac:dyDescent="0.3">
      <c r="A77" s="42"/>
      <c r="B77" s="137" t="s">
        <v>155</v>
      </c>
      <c r="C77" s="176"/>
      <c r="D77" s="176"/>
      <c r="E77" s="176"/>
      <c r="F77" s="176"/>
      <c r="G77" s="176"/>
      <c r="H77" s="176"/>
      <c r="I77" s="177"/>
      <c r="J77" s="44"/>
    </row>
    <row r="78" spans="1:10" x14ac:dyDescent="0.3">
      <c r="A78" s="42"/>
      <c r="B78" s="43"/>
      <c r="C78" s="42"/>
      <c r="D78" s="42"/>
      <c r="E78" s="42"/>
      <c r="F78" s="42"/>
      <c r="G78" s="42"/>
      <c r="H78" s="42"/>
      <c r="I78" s="42"/>
      <c r="J78" s="44"/>
    </row>
    <row r="79" spans="1:10" x14ac:dyDescent="0.3">
      <c r="A79" s="42"/>
      <c r="B79" s="178" t="s">
        <v>152</v>
      </c>
      <c r="C79" s="178"/>
      <c r="D79" s="178"/>
      <c r="E79" s="178"/>
      <c r="F79" s="178"/>
      <c r="G79" s="48"/>
      <c r="H79" s="136"/>
      <c r="I79" s="136"/>
      <c r="J79" s="44"/>
    </row>
    <row r="80" spans="1:10" s="22" customFormat="1" x14ac:dyDescent="0.3">
      <c r="A80" s="63">
        <v>1</v>
      </c>
      <c r="B80" s="130"/>
      <c r="C80" s="131"/>
      <c r="D80" s="131"/>
      <c r="E80" s="131"/>
      <c r="F80" s="132"/>
      <c r="G80" s="64" t="e">
        <f>VLOOKUP($B80, metrics, 2, 0)</f>
        <v>#N/A</v>
      </c>
      <c r="H80" s="133"/>
      <c r="I80" s="134"/>
      <c r="J80" s="65"/>
    </row>
    <row r="81" spans="1:10" s="22" customFormat="1" ht="10.050000000000001" customHeight="1" x14ac:dyDescent="0.3">
      <c r="A81" s="63"/>
      <c r="B81" s="66"/>
      <c r="C81" s="67"/>
      <c r="D81" s="67"/>
      <c r="E81" s="67"/>
      <c r="F81" s="67"/>
      <c r="G81" s="67"/>
      <c r="H81" s="68"/>
      <c r="I81" s="68"/>
      <c r="J81" s="65"/>
    </row>
    <row r="82" spans="1:10" s="22" customFormat="1" x14ac:dyDescent="0.3">
      <c r="A82" s="63">
        <v>2</v>
      </c>
      <c r="B82" s="130"/>
      <c r="C82" s="131"/>
      <c r="D82" s="131"/>
      <c r="E82" s="131"/>
      <c r="F82" s="132"/>
      <c r="G82" s="64" t="e">
        <f>VLOOKUP($B82, metrics, 2, 0)</f>
        <v>#N/A</v>
      </c>
      <c r="H82" s="133"/>
      <c r="I82" s="134"/>
      <c r="J82" s="65"/>
    </row>
    <row r="83" spans="1:10" s="22" customFormat="1" ht="10.050000000000001" customHeight="1" x14ac:dyDescent="0.3">
      <c r="A83" s="63"/>
      <c r="B83" s="66"/>
      <c r="C83" s="67"/>
      <c r="D83" s="67"/>
      <c r="E83" s="67"/>
      <c r="F83" s="67"/>
      <c r="G83" s="67"/>
      <c r="H83" s="68"/>
      <c r="I83" s="68"/>
      <c r="J83" s="65"/>
    </row>
    <row r="84" spans="1:10" s="22" customFormat="1" x14ac:dyDescent="0.3">
      <c r="A84" s="63">
        <v>3</v>
      </c>
      <c r="B84" s="130"/>
      <c r="C84" s="131"/>
      <c r="D84" s="131"/>
      <c r="E84" s="131"/>
      <c r="F84" s="132"/>
      <c r="G84" s="64" t="e">
        <f>VLOOKUP($B84, metrics, 2, 0)</f>
        <v>#N/A</v>
      </c>
      <c r="H84" s="133"/>
      <c r="I84" s="134"/>
      <c r="J84" s="65"/>
    </row>
    <row r="85" spans="1:10" s="22" customFormat="1" ht="10.050000000000001" customHeight="1" x14ac:dyDescent="0.3">
      <c r="A85" s="63"/>
      <c r="B85" s="66"/>
      <c r="C85" s="67"/>
      <c r="D85" s="67"/>
      <c r="E85" s="67"/>
      <c r="F85" s="67"/>
      <c r="G85" s="67"/>
      <c r="H85" s="68"/>
      <c r="I85" s="68"/>
      <c r="J85" s="65"/>
    </row>
    <row r="86" spans="1:10" s="22" customFormat="1" x14ac:dyDescent="0.3">
      <c r="A86" s="63">
        <v>4</v>
      </c>
      <c r="B86" s="130"/>
      <c r="C86" s="131"/>
      <c r="D86" s="131"/>
      <c r="E86" s="131"/>
      <c r="F86" s="132"/>
      <c r="G86" s="64" t="e">
        <f>VLOOKUP($B86, metrics, 2, 0)</f>
        <v>#N/A</v>
      </c>
      <c r="H86" s="133"/>
      <c r="I86" s="134"/>
      <c r="J86" s="65"/>
    </row>
    <row r="87" spans="1:10" s="22" customFormat="1" ht="10.050000000000001" customHeight="1" x14ac:dyDescent="0.3">
      <c r="A87" s="63"/>
      <c r="B87" s="66"/>
      <c r="C87" s="67"/>
      <c r="D87" s="67"/>
      <c r="E87" s="67"/>
      <c r="F87" s="67"/>
      <c r="G87" s="67"/>
      <c r="H87" s="68"/>
      <c r="I87" s="68"/>
      <c r="J87" s="65"/>
    </row>
    <row r="88" spans="1:10" s="22" customFormat="1" x14ac:dyDescent="0.3">
      <c r="A88" s="63">
        <v>5</v>
      </c>
      <c r="B88" s="130"/>
      <c r="C88" s="131"/>
      <c r="D88" s="131"/>
      <c r="E88" s="131"/>
      <c r="F88" s="132"/>
      <c r="G88" s="64" t="e">
        <f>VLOOKUP($B88, metrics, 2, 0)</f>
        <v>#N/A</v>
      </c>
      <c r="H88" s="133"/>
      <c r="I88" s="134"/>
      <c r="J88" s="65"/>
    </row>
    <row r="89" spans="1:10" s="22" customFormat="1" ht="10.050000000000001" customHeight="1" x14ac:dyDescent="0.3">
      <c r="A89" s="63"/>
      <c r="B89" s="66"/>
      <c r="C89" s="67"/>
      <c r="D89" s="67"/>
      <c r="E89" s="67"/>
      <c r="F89" s="67"/>
      <c r="G89" s="67"/>
      <c r="H89" s="68"/>
      <c r="I89" s="68"/>
      <c r="J89" s="65"/>
    </row>
    <row r="90" spans="1:10" s="22" customFormat="1" x14ac:dyDescent="0.3">
      <c r="A90" s="63">
        <v>6</v>
      </c>
      <c r="B90" s="130"/>
      <c r="C90" s="131"/>
      <c r="D90" s="131"/>
      <c r="E90" s="131"/>
      <c r="F90" s="132"/>
      <c r="G90" s="64" t="e">
        <f>VLOOKUP($B90, metrics, 2, 0)</f>
        <v>#N/A</v>
      </c>
      <c r="H90" s="133"/>
      <c r="I90" s="134"/>
      <c r="J90" s="65"/>
    </row>
    <row r="91" spans="1:10" ht="10.050000000000001" customHeight="1" x14ac:dyDescent="0.3">
      <c r="A91" s="42"/>
      <c r="B91" s="43"/>
      <c r="C91" s="42"/>
      <c r="D91" s="42"/>
      <c r="E91" s="42"/>
      <c r="F91" s="42"/>
      <c r="G91" s="42"/>
      <c r="H91" s="42"/>
      <c r="I91" s="42"/>
      <c r="J91" s="44"/>
    </row>
  </sheetData>
  <sheetProtection algorithmName="SHA-512" hashValue="VnELEf/EZqUyPgqXmS2Cs0vdsPWnxGg0gxrdZA2pQ4d7/KI6uNIx8gUqpnMNltD9gMvb1ZqcoCDoGdW3QYSBsg==" saltValue="TmswDG0WMLXdumB+yXYnyA==" spinCount="100000" sheet="1" objects="1" scenarios="1"/>
  <mergeCells count="56">
    <mergeCell ref="A2:I2"/>
    <mergeCell ref="E11:F11"/>
    <mergeCell ref="E15:F15"/>
    <mergeCell ref="E19:F19"/>
    <mergeCell ref="B55:C56"/>
    <mergeCell ref="B3:C3"/>
    <mergeCell ref="D3:F3"/>
    <mergeCell ref="B6:I6"/>
    <mergeCell ref="B28:I28"/>
    <mergeCell ref="A5:I5"/>
    <mergeCell ref="C40:F40"/>
    <mergeCell ref="C42:F42"/>
    <mergeCell ref="C44:F44"/>
    <mergeCell ref="C46:F46"/>
    <mergeCell ref="E23:F23"/>
    <mergeCell ref="A27:I27"/>
    <mergeCell ref="C30:F30"/>
    <mergeCell ref="C32:F32"/>
    <mergeCell ref="C34:F34"/>
    <mergeCell ref="C36:F36"/>
    <mergeCell ref="C38:F38"/>
    <mergeCell ref="B66:F66"/>
    <mergeCell ref="H66:I66"/>
    <mergeCell ref="B68:F68"/>
    <mergeCell ref="H68:I68"/>
    <mergeCell ref="A48:I48"/>
    <mergeCell ref="B49:I49"/>
    <mergeCell ref="B64:F64"/>
    <mergeCell ref="B63:F63"/>
    <mergeCell ref="H63:I63"/>
    <mergeCell ref="H64:I64"/>
    <mergeCell ref="B58:C61"/>
    <mergeCell ref="B80:F80"/>
    <mergeCell ref="H80:I80"/>
    <mergeCell ref="B70:F70"/>
    <mergeCell ref="H70:I70"/>
    <mergeCell ref="B72:F72"/>
    <mergeCell ref="H72:I72"/>
    <mergeCell ref="B74:F74"/>
    <mergeCell ref="H74:I74"/>
    <mergeCell ref="B88:F88"/>
    <mergeCell ref="H88:I88"/>
    <mergeCell ref="B90:F90"/>
    <mergeCell ref="H90:I90"/>
    <mergeCell ref="E51:I53"/>
    <mergeCell ref="B51:C53"/>
    <mergeCell ref="B82:F82"/>
    <mergeCell ref="H82:I82"/>
    <mergeCell ref="B84:F84"/>
    <mergeCell ref="H84:I84"/>
    <mergeCell ref="B86:F86"/>
    <mergeCell ref="H86:I86"/>
    <mergeCell ref="A76:I76"/>
    <mergeCell ref="B77:I77"/>
    <mergeCell ref="B79:F79"/>
    <mergeCell ref="H79:I79"/>
  </mergeCells>
  <dataValidations count="7">
    <dataValidation type="list" allowBlank="1" showInputMessage="1" showErrorMessage="1" sqref="B64:F64 B66:F66 B68:F68 B70:F70 B72:F72 B74:F74" xr:uid="{D1C4BBF3-4BBE-42BD-88D9-AF1A870BAED8}">
      <formula1>descriptions</formula1>
    </dataValidation>
    <dataValidation type="list" allowBlank="1" showInputMessage="1" showErrorMessage="1" sqref="H64:I64 H66:I66 H68:I68 H70:I70 H72:I72 H74:I74 H80:I80 H82:I82 H84:I84 H86:I86 H88:I88 H90:I90" xr:uid="{817C6A64-1068-4CBA-ADE1-B4A18219AFAA}">
      <formula1>INDIRECT($G64)</formula1>
    </dataValidation>
    <dataValidation type="list" allowBlank="1" showInputMessage="1" showErrorMessage="1" sqref="E55" xr:uid="{7ADD3C1D-B9BE-4F0B-AE7D-B07A9F765873}">
      <formula1>"40%, 50%, 60%, 70%, 80%"</formula1>
    </dataValidation>
    <dataValidation type="list" allowBlank="1" showInputMessage="1" showErrorMessage="1" sqref="B80:F80 B82:F82 B84:F84 B88:F88 B86:F86 B90:F90" xr:uid="{1CC9FDF7-2DC8-46F2-9A6E-F1127AE85736}">
      <formula1>preferred_criteria</formula1>
    </dataValidation>
    <dataValidation type="list" allowBlank="1" showInputMessage="1" showErrorMessage="1" sqref="C32:F32 C46:F46 C44:F44 C42:F42 C40:F40 C38:F38 C36:F36 C34:F34" xr:uid="{348DCD0E-4848-4531-8B43-035E420F7CA8}">
      <formula1>$P$2:$P$11</formula1>
    </dataValidation>
    <dataValidation type="list" allowBlank="1" showInputMessage="1" showErrorMessage="1" sqref="E9 H25 E25 B25 H21 E21 B21 H17 E17 B17 H13 E13 B13 H9" xr:uid="{4C51E460-E7B4-4F88-902C-ED15ADF1B430}">
      <formula1>$L$2:$L$44</formula1>
    </dataValidation>
    <dataValidation type="list" allowBlank="1" showInputMessage="1" showErrorMessage="1" sqref="F9 I25 F25 C25 I21 F21 C21 I17 F17 C17 I13 F13 C13 I9" xr:uid="{5727848F-4AAB-4BCC-BDB1-1407D6CAFDB2}">
      <formula1>$N$2:$N$6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54F0A7CF-5061-4DB2-8CA8-48F35127E165}">
          <x14:formula1>
            <xm:f>choices!$K$2:$K$44</xm:f>
          </x14:formula1>
          <xm:sqref>B9</xm:sqref>
        </x14:dataValidation>
        <x14:dataValidation type="list" allowBlank="1" showInputMessage="1" showErrorMessage="1" xr:uid="{A1F9454E-00A1-4885-996B-CC2E4A3C47DE}">
          <x14:formula1>
            <xm:f>choices!$M$2:$M$6</xm:f>
          </x14:formula1>
          <xm:sqref>C9</xm:sqref>
        </x14:dataValidation>
        <x14:dataValidation type="list" allowBlank="1" showInputMessage="1" showErrorMessage="1" xr:uid="{91A9DF13-95C1-4650-A88E-FCB1276FE169}">
          <x14:formula1>
            <xm:f>choices!$I$2:$I$15</xm:f>
          </x14:formula1>
          <xm:sqref>D3:F3 E51:I53</xm:sqref>
        </x14:dataValidation>
        <x14:dataValidation type="list" allowBlank="1" showInputMessage="1" showErrorMessage="1" xr:uid="{8BC5A688-8F4F-4BC9-B612-1C8C7E523BBA}">
          <x14:formula1>
            <xm:f>choices!$P$2:$P$11</xm:f>
          </x14:formula1>
          <xm:sqref>C30:F30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D44"/>
  <sheetViews>
    <sheetView showGridLines="0" tabSelected="1" topLeftCell="J1" workbookViewId="0">
      <selection activeCell="S10" sqref="S10"/>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6.6640625" style="5" customWidth="1"/>
    <col min="15" max="15" width="3.5546875" customWidth="1"/>
    <col min="16" max="16" width="12.88671875" bestFit="1" customWidth="1"/>
    <col min="17" max="17" width="3.5546875" customWidth="1"/>
    <col min="18" max="18" width="47.88671875" style="5" customWidth="1"/>
    <col min="19" max="19" width="25" style="5" customWidth="1"/>
    <col min="20" max="20" width="3.5546875" style="5" customWidth="1"/>
    <col min="21" max="21" width="22" style="1" customWidth="1"/>
    <col min="22" max="22" width="12.88671875" style="1" bestFit="1" customWidth="1"/>
    <col min="23" max="23" width="39.33203125" style="1" customWidth="1"/>
    <col min="24" max="24" width="23" style="1" customWidth="1"/>
    <col min="25" max="25" width="23.88671875" customWidth="1"/>
    <col min="26" max="26" width="22.88671875" customWidth="1"/>
    <col min="27" max="27" width="21.21875" customWidth="1"/>
    <col min="28" max="28" width="25.88671875" customWidth="1"/>
  </cols>
  <sheetData>
    <row r="1" spans="1:30" ht="28.8" customHeight="1" x14ac:dyDescent="0.3">
      <c r="A1" s="3" t="s">
        <v>6</v>
      </c>
      <c r="C1" s="3" t="s">
        <v>30</v>
      </c>
      <c r="E1" s="3" t="s">
        <v>15</v>
      </c>
      <c r="G1" s="3" t="s">
        <v>15</v>
      </c>
      <c r="I1" s="3" t="s">
        <v>70</v>
      </c>
      <c r="K1" s="3" t="s">
        <v>79</v>
      </c>
      <c r="M1" s="3" t="s">
        <v>123</v>
      </c>
      <c r="N1" s="3"/>
      <c r="P1" s="9" t="s">
        <v>146</v>
      </c>
      <c r="R1" s="21" t="s">
        <v>214</v>
      </c>
      <c r="S1" s="21" t="s">
        <v>213</v>
      </c>
      <c r="U1" s="182" t="s">
        <v>156</v>
      </c>
      <c r="V1" s="182"/>
      <c r="W1" s="182"/>
      <c r="X1" s="182"/>
      <c r="Y1" s="182"/>
      <c r="Z1" s="182"/>
      <c r="AA1" s="182"/>
      <c r="AB1" s="182"/>
    </row>
    <row r="2" spans="1:30" x14ac:dyDescent="0.3">
      <c r="A2" s="7" t="s">
        <v>196</v>
      </c>
      <c r="C2" s="2" t="s">
        <v>31</v>
      </c>
      <c r="E2" s="2" t="s">
        <v>41</v>
      </c>
      <c r="G2" s="2" t="s">
        <v>42</v>
      </c>
      <c r="I2" s="2" t="s">
        <v>58</v>
      </c>
      <c r="K2" s="2" t="s">
        <v>80</v>
      </c>
      <c r="M2" s="2" t="s">
        <v>124</v>
      </c>
      <c r="N2" s="2">
        <v>5</v>
      </c>
      <c r="P2" s="6" t="s">
        <v>140</v>
      </c>
      <c r="R2" s="16" t="s">
        <v>158</v>
      </c>
      <c r="S2" s="16" t="s">
        <v>157</v>
      </c>
    </row>
    <row r="3" spans="1:30" x14ac:dyDescent="0.3">
      <c r="A3" s="7" t="s">
        <v>179</v>
      </c>
      <c r="C3" s="2" t="s">
        <v>32</v>
      </c>
      <c r="E3" s="2" t="s">
        <v>40</v>
      </c>
      <c r="G3" s="2" t="s">
        <v>43</v>
      </c>
      <c r="I3" s="2" t="s">
        <v>57</v>
      </c>
      <c r="K3" s="2" t="s">
        <v>81</v>
      </c>
      <c r="M3" s="2" t="s">
        <v>125</v>
      </c>
      <c r="N3" s="2">
        <v>4</v>
      </c>
      <c r="P3" s="10" t="s">
        <v>147</v>
      </c>
      <c r="R3" s="16" t="s">
        <v>161</v>
      </c>
      <c r="S3" s="16" t="s">
        <v>159</v>
      </c>
      <c r="U3" s="12" t="s">
        <v>157</v>
      </c>
      <c r="V3" s="12" t="s">
        <v>262</v>
      </c>
      <c r="W3" s="12" t="s">
        <v>159</v>
      </c>
      <c r="X3" s="12" t="s">
        <v>160</v>
      </c>
      <c r="Y3" s="13" t="s">
        <v>163</v>
      </c>
      <c r="Z3" s="13" t="s">
        <v>165</v>
      </c>
      <c r="AA3" s="13" t="s">
        <v>167</v>
      </c>
      <c r="AB3" s="13" t="s">
        <v>169</v>
      </c>
      <c r="AC3" s="13" t="s">
        <v>217</v>
      </c>
      <c r="AD3" s="74"/>
    </row>
    <row r="4" spans="1:30" ht="43.2" x14ac:dyDescent="0.3">
      <c r="A4" s="7" t="s">
        <v>180</v>
      </c>
      <c r="C4" s="2" t="s">
        <v>33</v>
      </c>
      <c r="G4" s="2" t="s">
        <v>44</v>
      </c>
      <c r="I4" s="2" t="s">
        <v>67</v>
      </c>
      <c r="K4" s="2" t="s">
        <v>82</v>
      </c>
      <c r="M4" s="2" t="s">
        <v>126</v>
      </c>
      <c r="N4" s="2">
        <v>3</v>
      </c>
      <c r="P4" s="10" t="s">
        <v>141</v>
      </c>
      <c r="R4" s="16" t="s">
        <v>162</v>
      </c>
      <c r="S4" s="16" t="s">
        <v>160</v>
      </c>
      <c r="U4" s="14" t="s">
        <v>158</v>
      </c>
      <c r="V4" s="14">
        <v>9</v>
      </c>
      <c r="W4" s="14" t="s">
        <v>161</v>
      </c>
      <c r="X4" s="14" t="s">
        <v>162</v>
      </c>
      <c r="Y4" s="4" t="s">
        <v>164</v>
      </c>
      <c r="Z4" s="4" t="s">
        <v>166</v>
      </c>
      <c r="AA4" s="4" t="s">
        <v>168</v>
      </c>
      <c r="AB4" s="4" t="s">
        <v>170</v>
      </c>
      <c r="AC4" s="25" t="s">
        <v>220</v>
      </c>
    </row>
    <row r="5" spans="1:30" x14ac:dyDescent="0.3">
      <c r="A5" s="7" t="s">
        <v>23</v>
      </c>
      <c r="C5" s="2" t="s">
        <v>34</v>
      </c>
      <c r="G5" s="2" t="s">
        <v>45</v>
      </c>
      <c r="I5" s="2" t="s">
        <v>59</v>
      </c>
      <c r="K5" s="2" t="s">
        <v>83</v>
      </c>
      <c r="M5" s="2" t="s">
        <v>127</v>
      </c>
      <c r="N5" s="2">
        <v>2</v>
      </c>
      <c r="P5" s="6" t="s">
        <v>142</v>
      </c>
      <c r="R5" s="20" t="s">
        <v>164</v>
      </c>
      <c r="S5" s="20" t="s">
        <v>163</v>
      </c>
      <c r="U5" s="15" t="s">
        <v>171</v>
      </c>
      <c r="V5" s="15">
        <v>8</v>
      </c>
      <c r="W5" s="15" t="s">
        <v>24</v>
      </c>
      <c r="X5" s="15" t="s">
        <v>31</v>
      </c>
      <c r="Y5" s="19" t="s">
        <v>200</v>
      </c>
      <c r="Z5" s="17" t="s">
        <v>203</v>
      </c>
      <c r="AA5" s="17" t="s">
        <v>207</v>
      </c>
      <c r="AB5" s="17" t="s">
        <v>210</v>
      </c>
      <c r="AC5" s="25" t="s">
        <v>219</v>
      </c>
    </row>
    <row r="6" spans="1:30" x14ac:dyDescent="0.3">
      <c r="A6" s="7" t="s">
        <v>181</v>
      </c>
      <c r="C6" s="2" t="s">
        <v>35</v>
      </c>
      <c r="G6" s="2" t="s">
        <v>46</v>
      </c>
      <c r="I6" s="2" t="s">
        <v>61</v>
      </c>
      <c r="K6" s="2" t="s">
        <v>84</v>
      </c>
      <c r="M6" s="2" t="s">
        <v>128</v>
      </c>
      <c r="N6" s="2">
        <v>1</v>
      </c>
      <c r="P6" s="6" t="s">
        <v>148</v>
      </c>
      <c r="R6" s="20" t="s">
        <v>215</v>
      </c>
      <c r="S6" s="20" t="s">
        <v>165</v>
      </c>
      <c r="U6" s="15" t="s">
        <v>172</v>
      </c>
      <c r="V6" s="15">
        <v>7</v>
      </c>
      <c r="W6" s="15" t="s">
        <v>29</v>
      </c>
      <c r="X6" s="15" t="s">
        <v>32</v>
      </c>
      <c r="Y6" s="19" t="s">
        <v>201</v>
      </c>
      <c r="Z6" s="17" t="s">
        <v>205</v>
      </c>
      <c r="AA6" s="17" t="s">
        <v>208</v>
      </c>
      <c r="AB6" s="17" t="s">
        <v>211</v>
      </c>
      <c r="AC6" s="8" t="s">
        <v>218</v>
      </c>
    </row>
    <row r="7" spans="1:30" ht="28.8" x14ac:dyDescent="0.3">
      <c r="A7" s="7" t="s">
        <v>182</v>
      </c>
      <c r="C7" s="2" t="s">
        <v>36</v>
      </c>
      <c r="G7" s="2" t="s">
        <v>47</v>
      </c>
      <c r="I7" s="2" t="s">
        <v>69</v>
      </c>
      <c r="K7" s="2" t="s">
        <v>85</v>
      </c>
      <c r="P7" s="6" t="s">
        <v>143</v>
      </c>
      <c r="R7" s="20" t="s">
        <v>168</v>
      </c>
      <c r="S7" s="20" t="s">
        <v>167</v>
      </c>
      <c r="U7" s="15" t="s">
        <v>173</v>
      </c>
      <c r="V7" s="15">
        <v>6</v>
      </c>
      <c r="W7" s="15" t="s">
        <v>21</v>
      </c>
      <c r="X7" s="15" t="s">
        <v>35</v>
      </c>
      <c r="Y7" s="19" t="s">
        <v>202</v>
      </c>
      <c r="Z7" s="17" t="s">
        <v>204</v>
      </c>
      <c r="AA7" s="17" t="s">
        <v>209</v>
      </c>
      <c r="AB7" s="17" t="s">
        <v>212</v>
      </c>
      <c r="AC7" s="221"/>
      <c r="AD7" s="27"/>
    </row>
    <row r="8" spans="1:30" ht="28.8" x14ac:dyDescent="0.3">
      <c r="A8" s="7" t="s">
        <v>20</v>
      </c>
      <c r="C8" s="2" t="s">
        <v>37</v>
      </c>
      <c r="G8" s="2" t="s">
        <v>48</v>
      </c>
      <c r="I8" s="2" t="s">
        <v>62</v>
      </c>
      <c r="K8" s="2" t="s">
        <v>86</v>
      </c>
      <c r="P8" s="6" t="s">
        <v>149</v>
      </c>
      <c r="R8" s="20" t="s">
        <v>170</v>
      </c>
      <c r="S8" s="20" t="s">
        <v>169</v>
      </c>
      <c r="U8" s="15" t="s">
        <v>174</v>
      </c>
      <c r="V8" s="15">
        <v>5</v>
      </c>
      <c r="W8" s="15" t="s">
        <v>28</v>
      </c>
      <c r="X8" s="15" t="s">
        <v>199</v>
      </c>
      <c r="Y8" s="18"/>
      <c r="Z8" s="17" t="s">
        <v>206</v>
      </c>
      <c r="AA8" s="18"/>
      <c r="AB8" s="18"/>
    </row>
    <row r="9" spans="1:30" x14ac:dyDescent="0.3">
      <c r="A9" s="7" t="s">
        <v>183</v>
      </c>
      <c r="C9" s="2" t="s">
        <v>38</v>
      </c>
      <c r="I9" s="2" t="s">
        <v>60</v>
      </c>
      <c r="K9" s="2" t="s">
        <v>87</v>
      </c>
      <c r="P9" s="6" t="s">
        <v>150</v>
      </c>
      <c r="R9" s="20" t="s">
        <v>231</v>
      </c>
      <c r="S9" s="2" t="s">
        <v>302</v>
      </c>
      <c r="U9" s="15" t="s">
        <v>175</v>
      </c>
      <c r="V9" s="15">
        <v>4</v>
      </c>
      <c r="W9" s="15" t="s">
        <v>26</v>
      </c>
      <c r="X9" s="15" t="s">
        <v>198</v>
      </c>
      <c r="Y9" s="18"/>
      <c r="Z9" s="18"/>
      <c r="AA9" s="18"/>
      <c r="AB9" s="18"/>
    </row>
    <row r="10" spans="1:30" x14ac:dyDescent="0.3">
      <c r="A10" s="7" t="s">
        <v>27</v>
      </c>
      <c r="I10" s="2" t="s">
        <v>63</v>
      </c>
      <c r="K10" s="2" t="s">
        <v>88</v>
      </c>
      <c r="P10" s="6" t="s">
        <v>144</v>
      </c>
      <c r="R10" s="2" t="s">
        <v>220</v>
      </c>
      <c r="S10" s="20" t="s">
        <v>217</v>
      </c>
      <c r="U10" s="15" t="s">
        <v>176</v>
      </c>
      <c r="V10" s="15">
        <v>3</v>
      </c>
      <c r="W10" s="15" t="s">
        <v>22</v>
      </c>
      <c r="X10" s="15" t="s">
        <v>38</v>
      </c>
      <c r="Y10" s="18"/>
      <c r="Z10" s="18"/>
      <c r="AA10" s="18"/>
      <c r="AB10" s="18"/>
    </row>
    <row r="11" spans="1:30" x14ac:dyDescent="0.3">
      <c r="A11" s="7" t="s">
        <v>184</v>
      </c>
      <c r="I11" s="2" t="s">
        <v>56</v>
      </c>
      <c r="K11" s="2" t="s">
        <v>89</v>
      </c>
      <c r="P11" s="6" t="s">
        <v>145</v>
      </c>
      <c r="R11" s="27"/>
      <c r="S11" s="73"/>
      <c r="U11" s="15" t="s">
        <v>177</v>
      </c>
      <c r="V11" s="15">
        <v>2</v>
      </c>
      <c r="W11" s="15" t="s">
        <v>50</v>
      </c>
      <c r="X11" s="11"/>
      <c r="Y11" s="18"/>
      <c r="Z11" s="18"/>
      <c r="AA11" s="18"/>
      <c r="AB11" s="18"/>
    </row>
    <row r="12" spans="1:30" x14ac:dyDescent="0.3">
      <c r="A12" s="69" t="s">
        <v>225</v>
      </c>
      <c r="I12" s="2" t="s">
        <v>68</v>
      </c>
      <c r="K12" s="2" t="s">
        <v>90</v>
      </c>
      <c r="R12" s="26"/>
      <c r="S12" s="27"/>
      <c r="U12" s="15" t="s">
        <v>178</v>
      </c>
      <c r="V12" s="15">
        <v>1</v>
      </c>
      <c r="W12" s="11"/>
      <c r="X12" s="11"/>
      <c r="Y12" s="18"/>
      <c r="Z12" s="18"/>
      <c r="AA12" s="18"/>
      <c r="AB12" s="18"/>
    </row>
    <row r="13" spans="1:30" x14ac:dyDescent="0.3">
      <c r="A13" s="7" t="s">
        <v>185</v>
      </c>
      <c r="I13" s="2" t="s">
        <v>65</v>
      </c>
      <c r="K13" s="2" t="s">
        <v>91</v>
      </c>
      <c r="R13" s="27"/>
      <c r="S13" s="27"/>
    </row>
    <row r="14" spans="1:30" x14ac:dyDescent="0.3">
      <c r="A14" s="7" t="s">
        <v>186</v>
      </c>
      <c r="I14" s="2" t="s">
        <v>66</v>
      </c>
      <c r="K14" s="2" t="s">
        <v>92</v>
      </c>
      <c r="R14" s="27"/>
      <c r="S14" s="27"/>
    </row>
    <row r="15" spans="1:30" x14ac:dyDescent="0.3">
      <c r="A15" s="7" t="s">
        <v>187</v>
      </c>
      <c r="I15" s="2" t="s">
        <v>64</v>
      </c>
      <c r="K15" s="2" t="s">
        <v>93</v>
      </c>
      <c r="R15" s="27"/>
      <c r="S15" s="27"/>
    </row>
    <row r="16" spans="1:30" x14ac:dyDescent="0.3">
      <c r="A16" s="7" t="s">
        <v>188</v>
      </c>
      <c r="K16" s="2" t="s">
        <v>94</v>
      </c>
      <c r="R16" s="27"/>
      <c r="S16" s="27"/>
      <c r="U16" s="98"/>
      <c r="V16" s="98"/>
      <c r="W16" s="98"/>
    </row>
    <row r="17" spans="1:23" x14ac:dyDescent="0.3">
      <c r="A17" s="7" t="s">
        <v>189</v>
      </c>
      <c r="K17" s="2" t="s">
        <v>95</v>
      </c>
      <c r="R17" s="27"/>
      <c r="S17" s="27"/>
      <c r="U17" s="99"/>
      <c r="V17" s="99"/>
      <c r="W17" s="99"/>
    </row>
    <row r="18" spans="1:23" x14ac:dyDescent="0.3">
      <c r="A18" s="7" t="s">
        <v>25</v>
      </c>
      <c r="K18" s="2" t="s">
        <v>96</v>
      </c>
      <c r="U18" s="99"/>
      <c r="V18" s="99"/>
      <c r="W18" s="99"/>
    </row>
    <row r="19" spans="1:23" x14ac:dyDescent="0.3">
      <c r="A19" s="7" t="s">
        <v>190</v>
      </c>
      <c r="K19" s="2" t="s">
        <v>97</v>
      </c>
      <c r="U19" s="99"/>
      <c r="V19" s="99"/>
      <c r="W19" s="99"/>
    </row>
    <row r="20" spans="1:23" x14ac:dyDescent="0.3">
      <c r="A20" s="7" t="s">
        <v>191</v>
      </c>
      <c r="K20" s="2" t="s">
        <v>98</v>
      </c>
      <c r="U20" s="99"/>
      <c r="V20" s="99"/>
      <c r="W20" s="99"/>
    </row>
    <row r="21" spans="1:23" x14ac:dyDescent="0.3">
      <c r="A21" s="7" t="s">
        <v>192</v>
      </c>
      <c r="K21" s="2" t="s">
        <v>99</v>
      </c>
      <c r="U21" s="99"/>
      <c r="V21" s="99"/>
      <c r="W21" s="99"/>
    </row>
    <row r="22" spans="1:23" x14ac:dyDescent="0.3">
      <c r="A22" s="7" t="s">
        <v>193</v>
      </c>
      <c r="K22" s="2" t="s">
        <v>100</v>
      </c>
      <c r="U22" s="99"/>
      <c r="V22" s="99"/>
      <c r="W22" s="99"/>
    </row>
    <row r="23" spans="1:23" x14ac:dyDescent="0.3">
      <c r="A23" s="7" t="s">
        <v>194</v>
      </c>
      <c r="K23" s="2" t="s">
        <v>101</v>
      </c>
      <c r="U23" s="99"/>
      <c r="V23" s="99"/>
      <c r="W23" s="99"/>
    </row>
    <row r="24" spans="1:23" x14ac:dyDescent="0.3">
      <c r="A24" s="7" t="s">
        <v>195</v>
      </c>
      <c r="K24" s="2" t="s">
        <v>102</v>
      </c>
      <c r="U24" s="99"/>
      <c r="V24" s="99"/>
      <c r="W24" s="99"/>
    </row>
    <row r="25" spans="1:23" x14ac:dyDescent="0.3">
      <c r="A25" s="8" t="s">
        <v>197</v>
      </c>
      <c r="K25" s="2" t="s">
        <v>103</v>
      </c>
    </row>
    <row r="26" spans="1:23" x14ac:dyDescent="0.3">
      <c r="A26" s="8" t="s">
        <v>197</v>
      </c>
      <c r="K26" s="2" t="s">
        <v>104</v>
      </c>
    </row>
    <row r="27" spans="1:23" x14ac:dyDescent="0.3">
      <c r="A27" s="8" t="s">
        <v>197</v>
      </c>
      <c r="K27" s="2" t="s">
        <v>105</v>
      </c>
    </row>
    <row r="28" spans="1:23" x14ac:dyDescent="0.3">
      <c r="A28" s="8" t="s">
        <v>197</v>
      </c>
      <c r="K28" s="2" t="s">
        <v>106</v>
      </c>
    </row>
    <row r="29" spans="1:23" x14ac:dyDescent="0.3">
      <c r="K29" s="2" t="s">
        <v>107</v>
      </c>
    </row>
    <row r="30" spans="1:23" x14ac:dyDescent="0.3">
      <c r="K30" s="2" t="s">
        <v>108</v>
      </c>
    </row>
    <row r="31" spans="1:23" x14ac:dyDescent="0.3">
      <c r="K31" s="2" t="s">
        <v>109</v>
      </c>
    </row>
    <row r="32" spans="1:23" x14ac:dyDescent="0.3">
      <c r="K32" s="2" t="s">
        <v>110</v>
      </c>
    </row>
    <row r="33" spans="11:11" x14ac:dyDescent="0.3">
      <c r="K33" s="2" t="s">
        <v>111</v>
      </c>
    </row>
    <row r="34" spans="11:11" x14ac:dyDescent="0.3">
      <c r="K34" s="2" t="s">
        <v>112</v>
      </c>
    </row>
    <row r="35" spans="11:11" x14ac:dyDescent="0.3">
      <c r="K35" s="2" t="s">
        <v>113</v>
      </c>
    </row>
    <row r="36" spans="11:11" x14ac:dyDescent="0.3">
      <c r="K36" s="2" t="s">
        <v>114</v>
      </c>
    </row>
    <row r="37" spans="11:11" x14ac:dyDescent="0.3">
      <c r="K37" s="2" t="s">
        <v>115</v>
      </c>
    </row>
    <row r="38" spans="11:11" x14ac:dyDescent="0.3">
      <c r="K38" s="2" t="s">
        <v>116</v>
      </c>
    </row>
    <row r="39" spans="11:11" x14ac:dyDescent="0.3">
      <c r="K39" s="2" t="s">
        <v>117</v>
      </c>
    </row>
    <row r="40" spans="11:11" x14ac:dyDescent="0.3">
      <c r="K40" s="2" t="s">
        <v>118</v>
      </c>
    </row>
    <row r="41" spans="11:11" x14ac:dyDescent="0.3">
      <c r="K41" s="2" t="s">
        <v>119</v>
      </c>
    </row>
    <row r="42" spans="11:11" x14ac:dyDescent="0.3">
      <c r="K42" s="2" t="s">
        <v>120</v>
      </c>
    </row>
    <row r="43" spans="11:11" x14ac:dyDescent="0.3">
      <c r="K43" s="2" t="s">
        <v>121</v>
      </c>
    </row>
    <row r="44" spans="11:11" x14ac:dyDescent="0.3">
      <c r="K44" s="2" t="s">
        <v>122</v>
      </c>
    </row>
  </sheetData>
  <sortState ref="A3:A24">
    <sortCondition ref="A2"/>
  </sortState>
  <mergeCells count="1">
    <mergeCell ref="U1:A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Project Details</vt:lpstr>
      <vt:lpstr>Surveyor</vt:lpstr>
      <vt:lpstr>Template</vt:lpstr>
      <vt:lpstr>choices</vt:lpstr>
      <vt:lpstr>capi_software</vt:lpstr>
      <vt:lpstr>categories</vt:lpstr>
      <vt:lpstr>descriptions</vt:lpstr>
      <vt:lpstr>education</vt:lpstr>
      <vt:lpstr>education_val</vt:lpstr>
      <vt:lpstr>gender</vt:lpstr>
      <vt:lpstr>interview_mode</vt:lpstr>
      <vt:lpstr>interview_mode_full</vt:lpstr>
      <vt:lpstr>metrics</vt:lpstr>
      <vt:lpstr>paper_or_capi</vt:lpstr>
      <vt:lpstr>paper_or_capi_full</vt:lpstr>
      <vt:lpstr>preferred_criteria</vt:lpstr>
      <vt:lpstr>project</vt:lpstr>
      <vt:lpstr>project_details</vt:lpstr>
      <vt:lpstr>project_phase</vt:lpstr>
      <vt:lpstr>projects</vt:lpstr>
      <vt:lpstr>quantitative_or_qualitative</vt:lpstr>
      <vt:lpstr>quantitative_or_qualitative_full</vt:lpstr>
      <vt:lpstr>researcharea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2019-01-05T21:05:52Z</dcterms:modified>
</cp:coreProperties>
</file>